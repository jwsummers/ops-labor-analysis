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5f63ce5e347cd781/Desktop/"/>
    </mc:Choice>
  </mc:AlternateContent>
  <xr:revisionPtr revIDLastSave="0" documentId="8_{BC25820D-D1A4-47C2-AFD0-F05003B7E44F}" xr6:coauthVersionLast="47" xr6:coauthVersionMax="47" xr10:uidLastSave="{00000000-0000-0000-0000-000000000000}"/>
  <bookViews>
    <workbookView xWindow="-120" yWindow="-120" windowWidth="29040" windowHeight="16440" activeTab="1" xr2:uid="{00000000-000D-0000-FFFF-FFFF00000000}"/>
  </bookViews>
  <sheets>
    <sheet name="PT1" sheetId="2" r:id="rId1"/>
    <sheet name="Ops Dashboard" sheetId="6" r:id="rId2"/>
    <sheet name="PT2" sheetId="3" r:id="rId3"/>
    <sheet name="PT3" sheetId="4" r:id="rId4"/>
    <sheet name="PT4" sheetId="5" r:id="rId5"/>
    <sheet name="Operations Log" sheetId="1" r:id="rId6"/>
  </sheets>
  <definedNames>
    <definedName name="Slicer_Category">#N/A</definedName>
    <definedName name="Slicer_OperationGroup">#N/A</definedName>
    <definedName name="Slicer_TechInitials">#N/A</definedName>
    <definedName name="Slicer_Week">#N/A</definedName>
  </definedNames>
  <calcPr calcId="191029"/>
  <pivotCaches>
    <pivotCache cacheId="1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1" l="1"/>
  <c r="S28" i="1"/>
  <c r="S179" i="1"/>
  <c r="Q11" i="1"/>
  <c r="Q180" i="1"/>
  <c r="Q179" i="1"/>
  <c r="Q120" i="1"/>
  <c r="Q156" i="1"/>
  <c r="Q144" i="1"/>
  <c r="Q158" i="1"/>
  <c r="Q125" i="1"/>
  <c r="Q126" i="1"/>
  <c r="Q107" i="1"/>
  <c r="Q28" i="1"/>
  <c r="Q167" i="1"/>
  <c r="Q121" i="1"/>
  <c r="Q154" i="1"/>
  <c r="Q142" i="1"/>
  <c r="Q30" i="1"/>
  <c r="Q52" i="1"/>
  <c r="Q38" i="1"/>
  <c r="Q127" i="1"/>
  <c r="Q76" i="1"/>
  <c r="Q181" i="1"/>
  <c r="Q90" i="1"/>
  <c r="Q157" i="1"/>
  <c r="Q31" i="1"/>
  <c r="Q12" i="1"/>
  <c r="Q18" i="1"/>
  <c r="Q143" i="1"/>
  <c r="Q77" i="1"/>
  <c r="Q128" i="1"/>
  <c r="Q168" i="1"/>
  <c r="Q153" i="1"/>
  <c r="Q67" i="1"/>
  <c r="Q55" i="1"/>
  <c r="Q108" i="1"/>
  <c r="Q194" i="1"/>
  <c r="Q91" i="1"/>
  <c r="Q169" i="1"/>
  <c r="Q19" i="1"/>
  <c r="Q148" i="1"/>
  <c r="Q39" i="1"/>
  <c r="Q166" i="1"/>
  <c r="Q195" i="1"/>
  <c r="Q47" i="1"/>
  <c r="Q106" i="1"/>
  <c r="Q65" i="1"/>
  <c r="Q66" i="1"/>
  <c r="Q81" i="1"/>
  <c r="Q117" i="1"/>
  <c r="Q7" i="1"/>
  <c r="Q84" i="1"/>
  <c r="Q92" i="1"/>
  <c r="Q8" i="1"/>
  <c r="Q3" i="1"/>
  <c r="Q40" i="1"/>
  <c r="Q25" i="1"/>
  <c r="Q32" i="1"/>
  <c r="Q109" i="1"/>
  <c r="Q170" i="1"/>
  <c r="Q182" i="1"/>
  <c r="Q35" i="1"/>
  <c r="Q171" i="1"/>
  <c r="Q75" i="1"/>
  <c r="Q183" i="1"/>
  <c r="Q93" i="1"/>
  <c r="Q41" i="1"/>
  <c r="Q68" i="1"/>
  <c r="Q33" i="1"/>
  <c r="Q172" i="1"/>
  <c r="Q78" i="1"/>
  <c r="Q56" i="1"/>
  <c r="Q20" i="1"/>
  <c r="Q196" i="1"/>
  <c r="Q48" i="1"/>
  <c r="Q13" i="1"/>
  <c r="Q197" i="1"/>
  <c r="Q42" i="1"/>
  <c r="Q131" i="1"/>
  <c r="Q129" i="1"/>
  <c r="Q94" i="1"/>
  <c r="Q26" i="1"/>
  <c r="Q150" i="1"/>
  <c r="Q104" i="1"/>
  <c r="Q43" i="1"/>
  <c r="Q118" i="1"/>
  <c r="Q37" i="1"/>
  <c r="Q85" i="1"/>
  <c r="Q110" i="1"/>
  <c r="Q184" i="1"/>
  <c r="Q149" i="1"/>
  <c r="Q4" i="1"/>
  <c r="Q69" i="1"/>
  <c r="Q198" i="1"/>
  <c r="Q130" i="1"/>
  <c r="Q122" i="1"/>
  <c r="Q185" i="1"/>
  <c r="Q192" i="1"/>
  <c r="Q44" i="1"/>
  <c r="Q193" i="1"/>
  <c r="Q53" i="1"/>
  <c r="Q57" i="1"/>
  <c r="Q73" i="1"/>
  <c r="Q95" i="1"/>
  <c r="Q86" i="1"/>
  <c r="Q186" i="1"/>
  <c r="Q102" i="1"/>
  <c r="Q101" i="1"/>
  <c r="Q5" i="1"/>
  <c r="Q17" i="1"/>
  <c r="Q58" i="1"/>
  <c r="Q173" i="1"/>
  <c r="Q21" i="1"/>
  <c r="Q174" i="1"/>
  <c r="Q145" i="1"/>
  <c r="Q103" i="1"/>
  <c r="Q36" i="1"/>
  <c r="Q159" i="1"/>
  <c r="Q2" i="1"/>
  <c r="Q187" i="1"/>
  <c r="Q111" i="1"/>
  <c r="Q51" i="1"/>
  <c r="Q132" i="1"/>
  <c r="Q140" i="1"/>
  <c r="Q175" i="1"/>
  <c r="Q177" i="1"/>
  <c r="Q141" i="1"/>
  <c r="Q87" i="1"/>
  <c r="Q14" i="1"/>
  <c r="Q64" i="1"/>
  <c r="Q189" i="1"/>
  <c r="Q60" i="1"/>
  <c r="Q151" i="1"/>
  <c r="Q133" i="1"/>
  <c r="Q22" i="1"/>
  <c r="Q146" i="1"/>
  <c r="Q97" i="1"/>
  <c r="Q165" i="1"/>
  <c r="Q134" i="1"/>
  <c r="Q70" i="1"/>
  <c r="Q88" i="1"/>
  <c r="Q135" i="1"/>
  <c r="Q188" i="1"/>
  <c r="Q112" i="1"/>
  <c r="Q59" i="1"/>
  <c r="Q27" i="1"/>
  <c r="Q161" i="1"/>
  <c r="Q160" i="1"/>
  <c r="Q98" i="1"/>
  <c r="Q96" i="1"/>
  <c r="Q119" i="1"/>
  <c r="Q105" i="1"/>
  <c r="Q136" i="1"/>
  <c r="Q61" i="1"/>
  <c r="Q113" i="1"/>
  <c r="Q29" i="1"/>
  <c r="Q137" i="1"/>
  <c r="Q147" i="1"/>
  <c r="Q74" i="1"/>
  <c r="Q63" i="1"/>
  <c r="Q114" i="1"/>
  <c r="Q6" i="1"/>
  <c r="Q162" i="1"/>
  <c r="Q9" i="1"/>
  <c r="Q16" i="1"/>
  <c r="Q54" i="1"/>
  <c r="Q199" i="1"/>
  <c r="Q115" i="1"/>
  <c r="Q89" i="1"/>
  <c r="Q15" i="1"/>
  <c r="Q190" i="1"/>
  <c r="Q176" i="1"/>
  <c r="Q163" i="1"/>
  <c r="Q178" i="1"/>
  <c r="Q82" i="1"/>
  <c r="Q155" i="1"/>
  <c r="Q123" i="1"/>
  <c r="Q99" i="1"/>
  <c r="Q71" i="1"/>
  <c r="Q100" i="1"/>
  <c r="Q23" i="1"/>
  <c r="Q124" i="1"/>
  <c r="Q200" i="1"/>
  <c r="Q24" i="1"/>
  <c r="Q139" i="1"/>
  <c r="Q138" i="1"/>
  <c r="Q79" i="1"/>
  <c r="Q191" i="1"/>
  <c r="Q116" i="1"/>
  <c r="Q201" i="1"/>
  <c r="Q72" i="1"/>
  <c r="Q202" i="1"/>
  <c r="Q50" i="1"/>
  <c r="Q80" i="1"/>
  <c r="Q164" i="1"/>
  <c r="Q45" i="1"/>
  <c r="Q10" i="1"/>
  <c r="Q62" i="1"/>
  <c r="Q34" i="1"/>
  <c r="Q49" i="1"/>
  <c r="Q46" i="1"/>
  <c r="Q152" i="1"/>
  <c r="Q83" i="1"/>
  <c r="P11" i="1"/>
  <c r="P180" i="1"/>
  <c r="P179" i="1"/>
  <c r="R179" i="1" s="1"/>
  <c r="P120" i="1"/>
  <c r="P156" i="1"/>
  <c r="P144" i="1"/>
  <c r="P158" i="1"/>
  <c r="P125" i="1"/>
  <c r="P126" i="1"/>
  <c r="P107" i="1"/>
  <c r="P28" i="1"/>
  <c r="R28" i="1" s="1"/>
  <c r="P167" i="1"/>
  <c r="P121" i="1"/>
  <c r="P154" i="1"/>
  <c r="P142" i="1"/>
  <c r="P30" i="1"/>
  <c r="P52" i="1"/>
  <c r="P38" i="1"/>
  <c r="P127" i="1"/>
  <c r="R127" i="1" s="1"/>
  <c r="S127" i="1" s="1"/>
  <c r="P76" i="1"/>
  <c r="P181" i="1"/>
  <c r="P90" i="1"/>
  <c r="P157" i="1"/>
  <c r="P31" i="1"/>
  <c r="P12" i="1"/>
  <c r="P18" i="1"/>
  <c r="P143" i="1"/>
  <c r="P77" i="1"/>
  <c r="P128" i="1"/>
  <c r="P168" i="1"/>
  <c r="P153" i="1"/>
  <c r="P67" i="1"/>
  <c r="P55" i="1"/>
  <c r="P108" i="1"/>
  <c r="P194" i="1"/>
  <c r="P91" i="1"/>
  <c r="P169" i="1"/>
  <c r="P19" i="1"/>
  <c r="P148" i="1"/>
  <c r="P39" i="1"/>
  <c r="P166" i="1"/>
  <c r="P195" i="1"/>
  <c r="P47" i="1"/>
  <c r="P106" i="1"/>
  <c r="P65" i="1"/>
  <c r="P66" i="1"/>
  <c r="P81" i="1"/>
  <c r="P117" i="1"/>
  <c r="P7" i="1"/>
  <c r="P84" i="1"/>
  <c r="P92" i="1"/>
  <c r="P8" i="1"/>
  <c r="P3" i="1"/>
  <c r="P40" i="1"/>
  <c r="P25" i="1"/>
  <c r="P32" i="1"/>
  <c r="P109" i="1"/>
  <c r="P170" i="1"/>
  <c r="P182" i="1"/>
  <c r="P35" i="1"/>
  <c r="P171" i="1"/>
  <c r="P75" i="1"/>
  <c r="P183" i="1"/>
  <c r="P93" i="1"/>
  <c r="P41" i="1"/>
  <c r="P68" i="1"/>
  <c r="P33" i="1"/>
  <c r="P172" i="1"/>
  <c r="P78" i="1"/>
  <c r="P56" i="1"/>
  <c r="P20" i="1"/>
  <c r="P196" i="1"/>
  <c r="P48" i="1"/>
  <c r="P13" i="1"/>
  <c r="P197" i="1"/>
  <c r="P42" i="1"/>
  <c r="P131" i="1"/>
  <c r="P129" i="1"/>
  <c r="P94" i="1"/>
  <c r="P26" i="1"/>
  <c r="P150" i="1"/>
  <c r="P104" i="1"/>
  <c r="P43" i="1"/>
  <c r="P118" i="1"/>
  <c r="P37" i="1"/>
  <c r="P85" i="1"/>
  <c r="P110" i="1"/>
  <c r="P184" i="1"/>
  <c r="P149" i="1"/>
  <c r="P4" i="1"/>
  <c r="P69" i="1"/>
  <c r="P198" i="1"/>
  <c r="P130" i="1"/>
  <c r="P122" i="1"/>
  <c r="P185" i="1"/>
  <c r="P192" i="1"/>
  <c r="P44" i="1"/>
  <c r="P193" i="1"/>
  <c r="P53" i="1"/>
  <c r="P57" i="1"/>
  <c r="P73" i="1"/>
  <c r="P95" i="1"/>
  <c r="P86" i="1"/>
  <c r="P186" i="1"/>
  <c r="P102" i="1"/>
  <c r="P101" i="1"/>
  <c r="P5" i="1"/>
  <c r="P17" i="1"/>
  <c r="P58" i="1"/>
  <c r="P173" i="1"/>
  <c r="P21" i="1"/>
  <c r="P174" i="1"/>
  <c r="P145" i="1"/>
  <c r="P103" i="1"/>
  <c r="P36" i="1"/>
  <c r="P159" i="1"/>
  <c r="P2" i="1"/>
  <c r="P187" i="1"/>
  <c r="P111" i="1"/>
  <c r="P51" i="1"/>
  <c r="P132" i="1"/>
  <c r="P140" i="1"/>
  <c r="P175" i="1"/>
  <c r="P177" i="1"/>
  <c r="P141" i="1"/>
  <c r="P87" i="1"/>
  <c r="P14" i="1"/>
  <c r="P64" i="1"/>
  <c r="P189" i="1"/>
  <c r="P60" i="1"/>
  <c r="P151" i="1"/>
  <c r="P133" i="1"/>
  <c r="P22" i="1"/>
  <c r="P146" i="1"/>
  <c r="P97" i="1"/>
  <c r="P165" i="1"/>
  <c r="P134" i="1"/>
  <c r="P70" i="1"/>
  <c r="P88" i="1"/>
  <c r="P135" i="1"/>
  <c r="P188" i="1"/>
  <c r="P112" i="1"/>
  <c r="P59" i="1"/>
  <c r="P27" i="1"/>
  <c r="P161" i="1"/>
  <c r="P160" i="1"/>
  <c r="P98" i="1"/>
  <c r="P96" i="1"/>
  <c r="P119" i="1"/>
  <c r="P105" i="1"/>
  <c r="P136" i="1"/>
  <c r="P61" i="1"/>
  <c r="P113" i="1"/>
  <c r="P29" i="1"/>
  <c r="P137" i="1"/>
  <c r="P147" i="1"/>
  <c r="P74" i="1"/>
  <c r="P63" i="1"/>
  <c r="P114" i="1"/>
  <c r="P6" i="1"/>
  <c r="P162" i="1"/>
  <c r="P9" i="1"/>
  <c r="P16" i="1"/>
  <c r="P54" i="1"/>
  <c r="P199" i="1"/>
  <c r="P115" i="1"/>
  <c r="P89" i="1"/>
  <c r="P15" i="1"/>
  <c r="P190" i="1"/>
  <c r="P176" i="1"/>
  <c r="P163" i="1"/>
  <c r="P178" i="1"/>
  <c r="P82" i="1"/>
  <c r="P155" i="1"/>
  <c r="P123" i="1"/>
  <c r="P99" i="1"/>
  <c r="P71" i="1"/>
  <c r="P100" i="1"/>
  <c r="P23" i="1"/>
  <c r="P124" i="1"/>
  <c r="P200" i="1"/>
  <c r="P24" i="1"/>
  <c r="P139" i="1"/>
  <c r="P138" i="1"/>
  <c r="P79" i="1"/>
  <c r="P191" i="1"/>
  <c r="P116" i="1"/>
  <c r="P201" i="1"/>
  <c r="P72" i="1"/>
  <c r="P202" i="1"/>
  <c r="P50" i="1"/>
  <c r="P80" i="1"/>
  <c r="P164" i="1"/>
  <c r="P45" i="1"/>
  <c r="P10" i="1"/>
  <c r="R10" i="1" s="1"/>
  <c r="P62" i="1"/>
  <c r="P34" i="1"/>
  <c r="P49" i="1"/>
  <c r="P46" i="1"/>
  <c r="P152" i="1"/>
  <c r="P83" i="1"/>
  <c r="O11" i="1"/>
  <c r="O180" i="1"/>
  <c r="O179" i="1"/>
  <c r="O120" i="1"/>
  <c r="O156" i="1"/>
  <c r="O144" i="1"/>
  <c r="O158" i="1"/>
  <c r="O125" i="1"/>
  <c r="O126" i="1"/>
  <c r="O107" i="1"/>
  <c r="O28" i="1"/>
  <c r="O167" i="1"/>
  <c r="O121" i="1"/>
  <c r="O154" i="1"/>
  <c r="O142" i="1"/>
  <c r="O30" i="1"/>
  <c r="O52" i="1"/>
  <c r="O38" i="1"/>
  <c r="O127" i="1"/>
  <c r="O76" i="1"/>
  <c r="O181" i="1"/>
  <c r="O90" i="1"/>
  <c r="O157" i="1"/>
  <c r="O31" i="1"/>
  <c r="O12" i="1"/>
  <c r="O18" i="1"/>
  <c r="O143" i="1"/>
  <c r="O77" i="1"/>
  <c r="O128" i="1"/>
  <c r="O168" i="1"/>
  <c r="O153" i="1"/>
  <c r="O67" i="1"/>
  <c r="O55" i="1"/>
  <c r="O108" i="1"/>
  <c r="O194" i="1"/>
  <c r="O91" i="1"/>
  <c r="O169" i="1"/>
  <c r="O19" i="1"/>
  <c r="O148" i="1"/>
  <c r="O39" i="1"/>
  <c r="O166" i="1"/>
  <c r="O195" i="1"/>
  <c r="O47" i="1"/>
  <c r="O106" i="1"/>
  <c r="O65" i="1"/>
  <c r="O66" i="1"/>
  <c r="O81" i="1"/>
  <c r="O117" i="1"/>
  <c r="O7" i="1"/>
  <c r="O84" i="1"/>
  <c r="O92" i="1"/>
  <c r="O8" i="1"/>
  <c r="O3" i="1"/>
  <c r="O40" i="1"/>
  <c r="O25" i="1"/>
  <c r="O32" i="1"/>
  <c r="O109" i="1"/>
  <c r="O170" i="1"/>
  <c r="O182" i="1"/>
  <c r="O35" i="1"/>
  <c r="O171" i="1"/>
  <c r="O75" i="1"/>
  <c r="O183" i="1"/>
  <c r="O93" i="1"/>
  <c r="O41" i="1"/>
  <c r="O68" i="1"/>
  <c r="O33" i="1"/>
  <c r="O172" i="1"/>
  <c r="O78" i="1"/>
  <c r="O56" i="1"/>
  <c r="O20" i="1"/>
  <c r="O196" i="1"/>
  <c r="O48" i="1"/>
  <c r="O13" i="1"/>
  <c r="O197" i="1"/>
  <c r="O42" i="1"/>
  <c r="O131" i="1"/>
  <c r="O129" i="1"/>
  <c r="O94" i="1"/>
  <c r="O26" i="1"/>
  <c r="O150" i="1"/>
  <c r="O104" i="1"/>
  <c r="O43" i="1"/>
  <c r="O118" i="1"/>
  <c r="O37" i="1"/>
  <c r="O85" i="1"/>
  <c r="O110" i="1"/>
  <c r="O184" i="1"/>
  <c r="O149" i="1"/>
  <c r="O4" i="1"/>
  <c r="O69" i="1"/>
  <c r="O198" i="1"/>
  <c r="O130" i="1"/>
  <c r="O122" i="1"/>
  <c r="O185" i="1"/>
  <c r="O192" i="1"/>
  <c r="O44" i="1"/>
  <c r="O193" i="1"/>
  <c r="O53" i="1"/>
  <c r="O57" i="1"/>
  <c r="O73" i="1"/>
  <c r="O95" i="1"/>
  <c r="O86" i="1"/>
  <c r="O186" i="1"/>
  <c r="O102" i="1"/>
  <c r="O101" i="1"/>
  <c r="O5" i="1"/>
  <c r="O17" i="1"/>
  <c r="O58" i="1"/>
  <c r="O173" i="1"/>
  <c r="O21" i="1"/>
  <c r="O174" i="1"/>
  <c r="O145" i="1"/>
  <c r="O103" i="1"/>
  <c r="O36" i="1"/>
  <c r="O159" i="1"/>
  <c r="O2" i="1"/>
  <c r="O187" i="1"/>
  <c r="O111" i="1"/>
  <c r="O51" i="1"/>
  <c r="O132" i="1"/>
  <c r="O140" i="1"/>
  <c r="O175" i="1"/>
  <c r="O177" i="1"/>
  <c r="O141" i="1"/>
  <c r="O87" i="1"/>
  <c r="O14" i="1"/>
  <c r="O64" i="1"/>
  <c r="O189" i="1"/>
  <c r="O60" i="1"/>
  <c r="O151" i="1"/>
  <c r="O133" i="1"/>
  <c r="O22" i="1"/>
  <c r="O146" i="1"/>
  <c r="O97" i="1"/>
  <c r="O165" i="1"/>
  <c r="O134" i="1"/>
  <c r="O70" i="1"/>
  <c r="O88" i="1"/>
  <c r="O135" i="1"/>
  <c r="O188" i="1"/>
  <c r="O112" i="1"/>
  <c r="O59" i="1"/>
  <c r="O27" i="1"/>
  <c r="O161" i="1"/>
  <c r="O160" i="1"/>
  <c r="O98" i="1"/>
  <c r="O96" i="1"/>
  <c r="O119" i="1"/>
  <c r="O105" i="1"/>
  <c r="O136" i="1"/>
  <c r="O61" i="1"/>
  <c r="O113" i="1"/>
  <c r="O29" i="1"/>
  <c r="O137" i="1"/>
  <c r="O147" i="1"/>
  <c r="O74" i="1"/>
  <c r="O63" i="1"/>
  <c r="O114" i="1"/>
  <c r="O6" i="1"/>
  <c r="O162" i="1"/>
  <c r="O9" i="1"/>
  <c r="O16" i="1"/>
  <c r="O54" i="1"/>
  <c r="O199" i="1"/>
  <c r="O115" i="1"/>
  <c r="O89" i="1"/>
  <c r="O15" i="1"/>
  <c r="O190" i="1"/>
  <c r="O176" i="1"/>
  <c r="O163" i="1"/>
  <c r="O178" i="1"/>
  <c r="O82" i="1"/>
  <c r="O155" i="1"/>
  <c r="O123" i="1"/>
  <c r="O99" i="1"/>
  <c r="O71" i="1"/>
  <c r="O100" i="1"/>
  <c r="O23" i="1"/>
  <c r="O124" i="1"/>
  <c r="O200" i="1"/>
  <c r="O24" i="1"/>
  <c r="O139" i="1"/>
  <c r="O138" i="1"/>
  <c r="O79" i="1"/>
  <c r="O191" i="1"/>
  <c r="O116" i="1"/>
  <c r="O201" i="1"/>
  <c r="O72" i="1"/>
  <c r="O202" i="1"/>
  <c r="O50" i="1"/>
  <c r="O80" i="1"/>
  <c r="O164" i="1"/>
  <c r="O45" i="1"/>
  <c r="O10" i="1"/>
  <c r="O62" i="1"/>
  <c r="O34" i="1"/>
  <c r="O49" i="1"/>
  <c r="O46" i="1"/>
  <c r="O152" i="1"/>
  <c r="O83" i="1"/>
  <c r="R83" i="1" l="1"/>
  <c r="S83" i="1" s="1"/>
  <c r="R164" i="1"/>
  <c r="S164" i="1" s="1"/>
  <c r="R79" i="1"/>
  <c r="S79" i="1" s="1"/>
  <c r="R71" i="1"/>
  <c r="S71" i="1" s="1"/>
  <c r="R190" i="1"/>
  <c r="S190" i="1" s="1"/>
  <c r="R162" i="1"/>
  <c r="S162" i="1" s="1"/>
  <c r="R113" i="1"/>
  <c r="S113" i="1" s="1"/>
  <c r="R161" i="1"/>
  <c r="S161" i="1" s="1"/>
  <c r="R134" i="1"/>
  <c r="S134" i="1" s="1"/>
  <c r="R189" i="1"/>
  <c r="S189" i="1" s="1"/>
  <c r="R11" i="1"/>
  <c r="S11" i="1" s="1"/>
  <c r="R116" i="1"/>
  <c r="S116" i="1" s="1"/>
  <c r="R23" i="1"/>
  <c r="S23" i="1" s="1"/>
  <c r="R163" i="1"/>
  <c r="S163" i="1" s="1"/>
  <c r="R16" i="1"/>
  <c r="S16" i="1" s="1"/>
  <c r="R137" i="1"/>
  <c r="S137" i="1" s="1"/>
  <c r="R98" i="1"/>
  <c r="S98" i="1" s="1"/>
  <c r="R88" i="1"/>
  <c r="S88" i="1" s="1"/>
  <c r="R151" i="1"/>
  <c r="S151" i="1" s="1"/>
  <c r="R175" i="1"/>
  <c r="S175" i="1" s="1"/>
  <c r="R36" i="1"/>
  <c r="S36" i="1" s="1"/>
  <c r="R5" i="1"/>
  <c r="S5" i="1" s="1"/>
  <c r="R53" i="1"/>
  <c r="S53" i="1" s="1"/>
  <c r="R69" i="1"/>
  <c r="S69" i="1" s="1"/>
  <c r="R43" i="1"/>
  <c r="S43" i="1" s="1"/>
  <c r="R197" i="1"/>
  <c r="S197" i="1" s="1"/>
  <c r="R33" i="1"/>
  <c r="S33" i="1" s="1"/>
  <c r="R182" i="1"/>
  <c r="S182" i="1" s="1"/>
  <c r="R92" i="1"/>
  <c r="S92" i="1" s="1"/>
  <c r="R47" i="1"/>
  <c r="S47" i="1" s="1"/>
  <c r="R194" i="1"/>
  <c r="S194" i="1" s="1"/>
  <c r="R143" i="1"/>
  <c r="S143" i="1" s="1"/>
  <c r="R45" i="1"/>
  <c r="S45" i="1" s="1"/>
  <c r="R191" i="1"/>
  <c r="S191" i="1" s="1"/>
  <c r="R100" i="1"/>
  <c r="S100" i="1" s="1"/>
  <c r="R176" i="1"/>
  <c r="S176" i="1" s="1"/>
  <c r="R9" i="1"/>
  <c r="S9" i="1" s="1"/>
  <c r="R29" i="1"/>
  <c r="S29" i="1" s="1"/>
  <c r="R160" i="1"/>
  <c r="S160" i="1" s="1"/>
  <c r="R70" i="1"/>
  <c r="S70" i="1" s="1"/>
  <c r="R60" i="1"/>
  <c r="S60" i="1" s="1"/>
  <c r="R152" i="1"/>
  <c r="S152" i="1" s="1"/>
  <c r="R80" i="1"/>
  <c r="S80" i="1" s="1"/>
  <c r="R138" i="1"/>
  <c r="S138" i="1" s="1"/>
  <c r="R99" i="1"/>
  <c r="S99" i="1" s="1"/>
  <c r="R15" i="1"/>
  <c r="S15" i="1" s="1"/>
  <c r="R6" i="1"/>
  <c r="S6" i="1" s="1"/>
  <c r="R61" i="1"/>
  <c r="S61" i="1" s="1"/>
  <c r="R27" i="1"/>
  <c r="S27" i="1" s="1"/>
  <c r="R165" i="1"/>
  <c r="S165" i="1" s="1"/>
  <c r="R64" i="1"/>
  <c r="S64" i="1" s="1"/>
  <c r="R51" i="1"/>
  <c r="S51" i="1" s="1"/>
  <c r="R174" i="1"/>
  <c r="S174" i="1" s="1"/>
  <c r="R186" i="1"/>
  <c r="S186" i="1" s="1"/>
  <c r="R192" i="1"/>
  <c r="S192" i="1" s="1"/>
  <c r="R184" i="1"/>
  <c r="S184" i="1" s="1"/>
  <c r="R26" i="1"/>
  <c r="S26" i="1" s="1"/>
  <c r="R196" i="1"/>
  <c r="S196" i="1" s="1"/>
  <c r="R93" i="1"/>
  <c r="S93" i="1" s="1"/>
  <c r="R32" i="1"/>
  <c r="S32" i="1" s="1"/>
  <c r="R117" i="1"/>
  <c r="S117" i="1" s="1"/>
  <c r="R39" i="1"/>
  <c r="S39" i="1" s="1"/>
  <c r="R67" i="1"/>
  <c r="S67" i="1" s="1"/>
  <c r="R31" i="1"/>
  <c r="S31" i="1" s="1"/>
  <c r="R30" i="1"/>
  <c r="S30" i="1" s="1"/>
  <c r="R125" i="1"/>
  <c r="S125" i="1" s="1"/>
  <c r="R62" i="1"/>
  <c r="S62" i="1" s="1"/>
  <c r="R201" i="1"/>
  <c r="S201" i="1" s="1"/>
  <c r="R124" i="1"/>
  <c r="S124" i="1" s="1"/>
  <c r="R178" i="1"/>
  <c r="S178" i="1" s="1"/>
  <c r="R54" i="1"/>
  <c r="S54" i="1" s="1"/>
  <c r="R147" i="1"/>
  <c r="S147" i="1" s="1"/>
  <c r="R96" i="1"/>
  <c r="S96" i="1" s="1"/>
  <c r="R135" i="1"/>
  <c r="S135" i="1" s="1"/>
  <c r="R133" i="1"/>
  <c r="S133" i="1" s="1"/>
  <c r="R177" i="1"/>
  <c r="S177" i="1" s="1"/>
  <c r="R159" i="1"/>
  <c r="S159" i="1" s="1"/>
  <c r="R17" i="1"/>
  <c r="S17" i="1" s="1"/>
  <c r="R57" i="1"/>
  <c r="S57" i="1" s="1"/>
  <c r="R198" i="1"/>
  <c r="S198" i="1" s="1"/>
  <c r="R118" i="1"/>
  <c r="S118" i="1" s="1"/>
  <c r="R42" i="1"/>
  <c r="S42" i="1" s="1"/>
  <c r="R172" i="1"/>
  <c r="S172" i="1" s="1"/>
  <c r="R35" i="1"/>
  <c r="S35" i="1" s="1"/>
  <c r="R8" i="1"/>
  <c r="S8" i="1" s="1"/>
  <c r="R106" i="1"/>
  <c r="S106" i="1" s="1"/>
  <c r="R91" i="1"/>
  <c r="S91" i="1" s="1"/>
  <c r="R77" i="1"/>
  <c r="S77" i="1" s="1"/>
  <c r="R76" i="1"/>
  <c r="S76" i="1" s="1"/>
  <c r="R167" i="1"/>
  <c r="S167" i="1" s="1"/>
  <c r="R120" i="1"/>
  <c r="S120" i="1" s="1"/>
  <c r="R46" i="1"/>
  <c r="S46" i="1" s="1"/>
  <c r="R34" i="1"/>
  <c r="S34" i="1" s="1"/>
  <c r="R72" i="1"/>
  <c r="S72" i="1" s="1"/>
  <c r="R200" i="1"/>
  <c r="S200" i="1" s="1"/>
  <c r="R82" i="1"/>
  <c r="S82" i="1" s="1"/>
  <c r="R199" i="1"/>
  <c r="S199" i="1" s="1"/>
  <c r="R74" i="1"/>
  <c r="S74" i="1" s="1"/>
  <c r="R119" i="1"/>
  <c r="S119" i="1" s="1"/>
  <c r="R188" i="1"/>
  <c r="S188" i="1" s="1"/>
  <c r="R22" i="1"/>
  <c r="S22" i="1" s="1"/>
  <c r="R141" i="1"/>
  <c r="S141" i="1" s="1"/>
  <c r="R2" i="1"/>
  <c r="S2" i="1" s="1"/>
  <c r="F4" i="6" s="1"/>
  <c r="R58" i="1"/>
  <c r="S58" i="1" s="1"/>
  <c r="R73" i="1"/>
  <c r="S73" i="1" s="1"/>
  <c r="R130" i="1"/>
  <c r="S130" i="1" s="1"/>
  <c r="R37" i="1"/>
  <c r="S37" i="1" s="1"/>
  <c r="R131" i="1"/>
  <c r="S131" i="1" s="1"/>
  <c r="R78" i="1"/>
  <c r="S78" i="1" s="1"/>
  <c r="R171" i="1"/>
  <c r="S171" i="1" s="1"/>
  <c r="R3" i="1"/>
  <c r="S3" i="1" s="1"/>
  <c r="R65" i="1"/>
  <c r="S65" i="1" s="1"/>
  <c r="R169" i="1"/>
  <c r="S169" i="1" s="1"/>
  <c r="R128" i="1"/>
  <c r="S128" i="1" s="1"/>
  <c r="R181" i="1"/>
  <c r="S181" i="1" s="1"/>
  <c r="R121" i="1"/>
  <c r="S121" i="1" s="1"/>
  <c r="R156" i="1"/>
  <c r="S156" i="1" s="1"/>
  <c r="R132" i="1"/>
  <c r="S132" i="1" s="1"/>
  <c r="R145" i="1"/>
  <c r="S145" i="1" s="1"/>
  <c r="R102" i="1"/>
  <c r="S102" i="1" s="1"/>
  <c r="R44" i="1"/>
  <c r="S44" i="1" s="1"/>
  <c r="R149" i="1"/>
  <c r="S149" i="1" s="1"/>
  <c r="R150" i="1"/>
  <c r="S150" i="1" s="1"/>
  <c r="R48" i="1"/>
  <c r="S48" i="1" s="1"/>
  <c r="R41" i="1"/>
  <c r="S41" i="1" s="1"/>
  <c r="R109" i="1"/>
  <c r="S109" i="1" s="1"/>
  <c r="R7" i="1"/>
  <c r="S7" i="1" s="1"/>
  <c r="R166" i="1"/>
  <c r="S166" i="1" s="1"/>
  <c r="R55" i="1"/>
  <c r="S55" i="1" s="1"/>
  <c r="R12" i="1"/>
  <c r="S12" i="1" s="1"/>
  <c r="R52" i="1"/>
  <c r="S52" i="1" s="1"/>
  <c r="R126" i="1"/>
  <c r="S126" i="1" s="1"/>
  <c r="R50" i="1"/>
  <c r="S50" i="1" s="1"/>
  <c r="R139" i="1"/>
  <c r="S139" i="1" s="1"/>
  <c r="R123" i="1"/>
  <c r="S123" i="1" s="1"/>
  <c r="R89" i="1"/>
  <c r="S89" i="1" s="1"/>
  <c r="R114" i="1"/>
  <c r="S114" i="1" s="1"/>
  <c r="R136" i="1"/>
  <c r="S136" i="1" s="1"/>
  <c r="R59" i="1"/>
  <c r="S59" i="1" s="1"/>
  <c r="R97" i="1"/>
  <c r="S97" i="1" s="1"/>
  <c r="R14" i="1"/>
  <c r="S14" i="1" s="1"/>
  <c r="R111" i="1"/>
  <c r="S111" i="1" s="1"/>
  <c r="R21" i="1"/>
  <c r="S21" i="1" s="1"/>
  <c r="R86" i="1"/>
  <c r="S86" i="1" s="1"/>
  <c r="R185" i="1"/>
  <c r="S185" i="1" s="1"/>
  <c r="R110" i="1"/>
  <c r="S110" i="1" s="1"/>
  <c r="R94" i="1"/>
  <c r="S94" i="1" s="1"/>
  <c r="R20" i="1"/>
  <c r="S20" i="1" s="1"/>
  <c r="R183" i="1"/>
  <c r="S183" i="1" s="1"/>
  <c r="R25" i="1"/>
  <c r="S25" i="1" s="1"/>
  <c r="R81" i="1"/>
  <c r="S81" i="1" s="1"/>
  <c r="R148" i="1"/>
  <c r="S148" i="1" s="1"/>
  <c r="R153" i="1"/>
  <c r="S153" i="1" s="1"/>
  <c r="R157" i="1"/>
  <c r="S157" i="1" s="1"/>
  <c r="R142" i="1"/>
  <c r="S142" i="1" s="1"/>
  <c r="R158" i="1"/>
  <c r="S158" i="1" s="1"/>
  <c r="R140" i="1"/>
  <c r="S140" i="1" s="1"/>
  <c r="R103" i="1"/>
  <c r="S103" i="1" s="1"/>
  <c r="R101" i="1"/>
  <c r="S101" i="1" s="1"/>
  <c r="R193" i="1"/>
  <c r="S193" i="1" s="1"/>
  <c r="R4" i="1"/>
  <c r="S4" i="1" s="1"/>
  <c r="R104" i="1"/>
  <c r="S104" i="1" s="1"/>
  <c r="R13" i="1"/>
  <c r="S13" i="1" s="1"/>
  <c r="R68" i="1"/>
  <c r="S68" i="1" s="1"/>
  <c r="R170" i="1"/>
  <c r="S170" i="1" s="1"/>
  <c r="R84" i="1"/>
  <c r="S84" i="1" s="1"/>
  <c r="R195" i="1"/>
  <c r="S195" i="1" s="1"/>
  <c r="R108" i="1"/>
  <c r="S108" i="1" s="1"/>
  <c r="R18" i="1"/>
  <c r="S18" i="1" s="1"/>
  <c r="R38" i="1"/>
  <c r="S38" i="1" s="1"/>
  <c r="R107" i="1"/>
  <c r="S107" i="1" s="1"/>
  <c r="R180" i="1"/>
  <c r="S180" i="1" s="1"/>
  <c r="R49" i="1"/>
  <c r="S49" i="1" s="1"/>
  <c r="R202" i="1"/>
  <c r="S202" i="1" s="1"/>
  <c r="R24" i="1"/>
  <c r="S24" i="1" s="1"/>
  <c r="R155" i="1"/>
  <c r="S155" i="1" s="1"/>
  <c r="R115" i="1"/>
  <c r="S115" i="1" s="1"/>
  <c r="R63" i="1"/>
  <c r="S63" i="1" s="1"/>
  <c r="R105" i="1"/>
  <c r="S105" i="1" s="1"/>
  <c r="R112" i="1"/>
  <c r="S112" i="1" s="1"/>
  <c r="R146" i="1"/>
  <c r="S146" i="1" s="1"/>
  <c r="R87" i="1"/>
  <c r="S87" i="1" s="1"/>
  <c r="R187" i="1"/>
  <c r="S187" i="1" s="1"/>
  <c r="R173" i="1"/>
  <c r="S173" i="1" s="1"/>
  <c r="R95" i="1"/>
  <c r="S95" i="1" s="1"/>
  <c r="R122" i="1"/>
  <c r="S122" i="1" s="1"/>
  <c r="R85" i="1"/>
  <c r="S85" i="1" s="1"/>
  <c r="R129" i="1"/>
  <c r="S129" i="1" s="1"/>
  <c r="R56" i="1"/>
  <c r="S56" i="1" s="1"/>
  <c r="R75" i="1"/>
  <c r="S75" i="1" s="1"/>
  <c r="R40" i="1"/>
  <c r="S40" i="1" s="1"/>
  <c r="R66" i="1"/>
  <c r="S66" i="1" s="1"/>
  <c r="R19" i="1"/>
  <c r="S19" i="1" s="1"/>
  <c r="R168" i="1"/>
  <c r="S168" i="1" s="1"/>
  <c r="R90" i="1"/>
  <c r="S90" i="1" s="1"/>
  <c r="R154" i="1"/>
  <c r="S154" i="1" s="1"/>
  <c r="R144" i="1"/>
  <c r="S144" i="1" s="1"/>
  <c r="A4" i="6" l="1"/>
</calcChain>
</file>

<file path=xl/sharedStrings.xml><?xml version="1.0" encoding="utf-8"?>
<sst xmlns="http://schemas.openxmlformats.org/spreadsheetml/2006/main" count="1701" uniqueCount="206">
  <si>
    <t>Week</t>
  </si>
  <si>
    <t>RO_Number</t>
  </si>
  <si>
    <t>TechInitials</t>
  </si>
  <si>
    <t>Category</t>
  </si>
  <si>
    <t>ActionTaken</t>
  </si>
  <si>
    <t>OperationGroup</t>
  </si>
  <si>
    <t>BuildType</t>
  </si>
  <si>
    <t>DateReviewed</t>
  </si>
  <si>
    <t>LaborHours_Billed</t>
  </si>
  <si>
    <t>LaborHours_Correct</t>
  </si>
  <si>
    <t>PartsCost</t>
  </si>
  <si>
    <t>TotalEstimatedCost</t>
  </si>
  <si>
    <t>HighCostFlag</t>
  </si>
  <si>
    <t>Notes</t>
  </si>
  <si>
    <t>CM</t>
  </si>
  <si>
    <t>MM</t>
  </si>
  <si>
    <t>TB</t>
  </si>
  <si>
    <t>JC</t>
  </si>
  <si>
    <t>LP</t>
  </si>
  <si>
    <t>JG</t>
  </si>
  <si>
    <t>KM</t>
  </si>
  <si>
    <t>KG</t>
  </si>
  <si>
    <t>SB</t>
  </si>
  <si>
    <t>AL</t>
  </si>
  <si>
    <t>DF</t>
  </si>
  <si>
    <t>RL</t>
  </si>
  <si>
    <t>RN</t>
  </si>
  <si>
    <t>ZT</t>
  </si>
  <si>
    <t>CS</t>
  </si>
  <si>
    <t>FF</t>
  </si>
  <si>
    <t>JD</t>
  </si>
  <si>
    <t>RB</t>
  </si>
  <si>
    <t>GM</t>
  </si>
  <si>
    <t>CH</t>
  </si>
  <si>
    <t>KC</t>
  </si>
  <si>
    <t>SS</t>
  </si>
  <si>
    <t>AD</t>
  </si>
  <si>
    <t>Overlapping Labor</t>
  </si>
  <si>
    <t>Incorrect Labor Time</t>
  </si>
  <si>
    <t>Unnecessary Repair</t>
  </si>
  <si>
    <t>High Cost Repair</t>
  </si>
  <si>
    <t>Adjusted Labor</t>
  </si>
  <si>
    <t>None</t>
  </si>
  <si>
    <t>No Action</t>
  </si>
  <si>
    <t>Coaching Only</t>
  </si>
  <si>
    <t>Declined</t>
  </si>
  <si>
    <t>Brakes</t>
  </si>
  <si>
    <t>TPMS</t>
  </si>
  <si>
    <t>Engine</t>
  </si>
  <si>
    <t>Electrical</t>
  </si>
  <si>
    <t>Alignment</t>
  </si>
  <si>
    <t>Maintenance</t>
  </si>
  <si>
    <t>Diagnostics</t>
  </si>
  <si>
    <t>Noise / Rattle</t>
  </si>
  <si>
    <t>Steering</t>
  </si>
  <si>
    <t>Suspension</t>
  </si>
  <si>
    <t>AC / HVAC</t>
  </si>
  <si>
    <t>Interior</t>
  </si>
  <si>
    <t>Retail</t>
  </si>
  <si>
    <t>Production</t>
  </si>
  <si>
    <t>2025-01-06</t>
  </si>
  <si>
    <t>2025-01-05</t>
  </si>
  <si>
    <t>2025-01-02</t>
  </si>
  <si>
    <t>2025-01-07</t>
  </si>
  <si>
    <t>2025-01-03</t>
  </si>
  <si>
    <t>2025-01-01</t>
  </si>
  <si>
    <t>2025-01-04</t>
  </si>
  <si>
    <t>2025-01-12</t>
  </si>
  <si>
    <t>2025-01-13</t>
  </si>
  <si>
    <t>2025-01-09</t>
  </si>
  <si>
    <t>2025-01-08</t>
  </si>
  <si>
    <t>2025-01-11</t>
  </si>
  <si>
    <t>2025-01-14</t>
  </si>
  <si>
    <t>2025-01-10</t>
  </si>
  <si>
    <t>2025-01-21</t>
  </si>
  <si>
    <t>2025-01-18</t>
  </si>
  <si>
    <t>2025-01-17</t>
  </si>
  <si>
    <t>2025-01-19</t>
  </si>
  <si>
    <t>2025-01-15</t>
  </si>
  <si>
    <t>2025-01-16</t>
  </si>
  <si>
    <t>2025-01-20</t>
  </si>
  <si>
    <t>2025-01-24</t>
  </si>
  <si>
    <t>2025-01-23</t>
  </si>
  <si>
    <t>2025-01-28</t>
  </si>
  <si>
    <t>2025-01-27</t>
  </si>
  <si>
    <t>2025-01-26</t>
  </si>
  <si>
    <t>2025-01-22</t>
  </si>
  <si>
    <t>2025-01-25</t>
  </si>
  <si>
    <t>2025-01-31</t>
  </si>
  <si>
    <t>2025-01-29</t>
  </si>
  <si>
    <t>2025-02-03</t>
  </si>
  <si>
    <t>2025-02-01</t>
  </si>
  <si>
    <t>2025-02-04</t>
  </si>
  <si>
    <t>2025-02-02</t>
  </si>
  <si>
    <t>2025-01-30</t>
  </si>
  <si>
    <t>2025-02-07</t>
  </si>
  <si>
    <t>2025-02-08</t>
  </si>
  <si>
    <t>2025-02-11</t>
  </si>
  <si>
    <t>2025-02-05</t>
  </si>
  <si>
    <t>2025-02-06</t>
  </si>
  <si>
    <t>2025-02-09</t>
  </si>
  <si>
    <t>2025-02-10</t>
  </si>
  <si>
    <t>2025-02-13</t>
  </si>
  <si>
    <t>2025-02-17</t>
  </si>
  <si>
    <t>2025-02-18</t>
  </si>
  <si>
    <t>2025-02-14</t>
  </si>
  <si>
    <t>2025-02-15</t>
  </si>
  <si>
    <t>2025-02-12</t>
  </si>
  <si>
    <t>2025-02-16</t>
  </si>
  <si>
    <t>2025-02-19</t>
  </si>
  <si>
    <t>2025-02-23</t>
  </si>
  <si>
    <t>2025-02-25</t>
  </si>
  <si>
    <t>2025-02-21</t>
  </si>
  <si>
    <t>2025-02-24</t>
  </si>
  <si>
    <t>2025-02-20</t>
  </si>
  <si>
    <t>No</t>
  </si>
  <si>
    <t>Yes</t>
  </si>
  <si>
    <t>Machine rotor and resurface pads written as separate lines instead of combo operation.</t>
  </si>
  <si>
    <t>Incorrect Labor Time on TPMS work; review labor guide and WIP usage.</t>
  </si>
  <si>
    <t>Unnecessary Repair on Engine work; review labor guide and WIP usage.</t>
  </si>
  <si>
    <t>Overlapping Labor on Electrical work; review labor guide and WIP usage.</t>
  </si>
  <si>
    <t>Unnecessary Repair on Alignment work; review labor guide and WIP usage.</t>
  </si>
  <si>
    <t>Retail diagnostic labor (2.2/1.9) used instead of production WIP line.</t>
  </si>
  <si>
    <t>High Cost Repair on Electrical work; review labor guide and WIP usage.</t>
  </si>
  <si>
    <t>Unnecessary Repair on Diagnostics work; review labor guide and WIP usage.</t>
  </si>
  <si>
    <t>Overlapping Labor on Noise / Rattle work; review labor guide and WIP usage.</t>
  </si>
  <si>
    <t>Incorrect Labor Time on Diagnostics work; review labor guide and WIP usage.</t>
  </si>
  <si>
    <t>Incorrect Labor Time on Steering work; review labor guide and WIP usage.</t>
  </si>
  <si>
    <t>Incorrect Labor Time on Suspension work; review labor guide and WIP usage.</t>
  </si>
  <si>
    <t>High cost engine repair; multiple overlapping labor lines on same concern.</t>
  </si>
  <si>
    <t>Incorrect Labor Time on Alignment work; review labor guide and WIP usage.</t>
  </si>
  <si>
    <t>High Cost Repair on Noise / Rattle work; review labor guide and WIP usage.</t>
  </si>
  <si>
    <t>Retail diagnostic labor (2.1/0.9) used instead of production WIP line.</t>
  </si>
  <si>
    <t>High cost AC repair compared to guide; compressor and condenser replaced together.</t>
  </si>
  <si>
    <t>Incorrect Labor Time on AC / HVAC work; review labor guide and WIP usage.</t>
  </si>
  <si>
    <t>Incorrect Labor Time on Engine work; review labor guide and WIP usage.</t>
  </si>
  <si>
    <t>Overlapping Labor on Maintenance work; review labor guide and WIP usage.</t>
  </si>
  <si>
    <t>Unnecessary Repair on Electrical work; review labor guide and WIP usage.</t>
  </si>
  <si>
    <t>Incorrect Labor Time on Interior work; review labor guide and WIP usage.</t>
  </si>
  <si>
    <t>Overlapping Labor on AC / HVAC work; review labor guide and WIP usage.</t>
  </si>
  <si>
    <t>Overlapping Labor on Suspension work; review labor guide and WIP usage.</t>
  </si>
  <si>
    <t>Brake noise diag performed with no worn components; pads and rotors within spec.</t>
  </si>
  <si>
    <t>TPMS diag 2.4 with no faults found; tire pressure was low only.</t>
  </si>
  <si>
    <t>Multiple diag lines (ABS, lane departure, CEL) for same root cause issue.</t>
  </si>
  <si>
    <t>High Cost Repair on Brakes work; review labor guide and WIP usage.</t>
  </si>
  <si>
    <t>Overlapping Labor on Engine work; review labor guide and WIP usage.</t>
  </si>
  <si>
    <t>Overlapping Labor on TPMS work; review labor guide and WIP usage.</t>
  </si>
  <si>
    <t>High Cost Repair on Alignment work; review labor guide and WIP usage.</t>
  </si>
  <si>
    <t>Added separate labor to remove under shield in addition to oil change line.</t>
  </si>
  <si>
    <t>Added separate alignment line on top of steering component labor that already includes alignment.</t>
  </si>
  <si>
    <t>High Cost Repair on Diagnostics work; review labor guide and WIP usage.</t>
  </si>
  <si>
    <t>Incorrect Labor Time on Noise / Rattle work; review labor guide and WIP usage.</t>
  </si>
  <si>
    <t>High Cost Repair on TPMS work; review labor guide and WIP usage.</t>
  </si>
  <si>
    <t>Overlapping Labor on Steering work; review labor guide and WIP usage.</t>
  </si>
  <si>
    <t>Used full R&amp;R rotor and pad labor instead of combo labor (0.8/0.3).</t>
  </si>
  <si>
    <t>Unnecessary Repair on Steering work; review labor guide and WIP usage.</t>
  </si>
  <si>
    <t>Full R&amp;R door panel labor used instead of R&amp;I for switch access (3.1/1.9).</t>
  </si>
  <si>
    <t>High Cost Repair on Steering work; review labor guide and WIP usage.</t>
  </si>
  <si>
    <t>Overlapping Labor on Interior work; review labor guide and WIP usage.</t>
  </si>
  <si>
    <t>TPMS diag 1.4 with no faults found; tire pressure was low only.</t>
  </si>
  <si>
    <t>High Cost Repair on Suspension work; review labor guide and WIP usage.</t>
  </si>
  <si>
    <t>Used full R&amp;R rotor and pad labor instead of combo labor (3.2/2.3).</t>
  </si>
  <si>
    <t>Used full R&amp;R rotor and pad labor instead of combo labor (0.9/0.3).</t>
  </si>
  <si>
    <t>Full R&amp;R door panel labor used instead of R&amp;I for switch access (2.9/1.8).</t>
  </si>
  <si>
    <t>Used full R&amp;R rotor and pad labor instead of combo labor (3.3/2.2).</t>
  </si>
  <si>
    <t>Used full R&amp;R rotor and pad labor instead of combo labor (3.1/2.8).</t>
  </si>
  <si>
    <t>TPMS diag 3.0 with no faults found; tire pressure was low only.</t>
  </si>
  <si>
    <t>Used full R&amp;R rotor and pad labor instead of combo labor (0.5/0.3).</t>
  </si>
  <si>
    <t>Full R&amp;R door panel labor used instead of R&amp;I for switch access (2.1/0.9).</t>
  </si>
  <si>
    <t>Unnecessary Repair on AC / HVAC work; review labor guide and WIP usage.</t>
  </si>
  <si>
    <t>Unnecessary Repair on Suspension work; review labor guide and WIP usage.</t>
  </si>
  <si>
    <t>Retail diagnostic labor (0.7/0.3) used instead of production WIP line.</t>
  </si>
  <si>
    <t>Unnecessary Repair on Interior work; review labor guide and WIP usage.</t>
  </si>
  <si>
    <t>Used full R&amp;R rotor and pad labor instead of combo labor (2.7/1.9).</t>
  </si>
  <si>
    <t>Full R&amp;R door panel labor used instead of R&amp;I for switch access (1.1/0.8).</t>
  </si>
  <si>
    <t>Full R&amp;R door panel labor used instead of R&amp;I for switch access (0.9/0.3).</t>
  </si>
  <si>
    <t>High Cost Repair on Maintenance work; review labor guide and WIP usage.</t>
  </si>
  <si>
    <t>Used full R&amp;R rotor and pad labor instead of combo labor (1.6/0.9).</t>
  </si>
  <si>
    <t>Unnecessary Repair on Noise / Rattle work; review labor guide and WIP usage.</t>
  </si>
  <si>
    <t>Full R&amp;R door panel labor used instead of R&amp;I for switch access (1.8/0.4).</t>
  </si>
  <si>
    <t>Used full R&amp;R rotor and pad labor instead of combo labor (2.5/1.1).</t>
  </si>
  <si>
    <t>Retail diagnostic labor (1.7/1.4) used instead of production WIP line.</t>
  </si>
  <si>
    <t>Used full R&amp;R rotor and pad labor instead of combo labor (1.6/0.7).</t>
  </si>
  <si>
    <t>Retail diagnostic labor (2.2/1.2) used instead of production WIP line.</t>
  </si>
  <si>
    <t>Full R&amp;R door panel labor used instead of R&amp;I for switch access (0.6/0.3).</t>
  </si>
  <si>
    <t>Used full R&amp;R rotor and pad labor instead of combo labor (2.0/1.6).</t>
  </si>
  <si>
    <t>Full R&amp;R door panel labor used instead of R&amp;I for switch access (0.7/0.3).</t>
  </si>
  <si>
    <t>Used full R&amp;R rotor and pad labor instead of combo labor (3.0/2.5).</t>
  </si>
  <si>
    <t>TPMS diag 0.8 with no faults found; tire pressure was low only.</t>
  </si>
  <si>
    <t>Full R&amp;R door panel labor used instead of R&amp;I for switch access (1.1/0.3).</t>
  </si>
  <si>
    <t>LaborRate</t>
  </si>
  <si>
    <t>LaborCost_Billed</t>
  </si>
  <si>
    <t>LaborCost_Correct</t>
  </si>
  <si>
    <t>CostOvercharge</t>
  </si>
  <si>
    <t>IssueSeverity</t>
  </si>
  <si>
    <t>Row Labels</t>
  </si>
  <si>
    <t>Grand Total</t>
  </si>
  <si>
    <t>Sum of CostOvercharge</t>
  </si>
  <si>
    <t>(All)</t>
  </si>
  <si>
    <t>Count of RO_Number</t>
  </si>
  <si>
    <t>Average of CostOvercharge</t>
  </si>
  <si>
    <t>Column Labels</t>
  </si>
  <si>
    <t>Total Cost Overcharge</t>
  </si>
  <si>
    <t>High Severity Issue %</t>
  </si>
  <si>
    <t>Most Frequent Category</t>
  </si>
  <si>
    <t>Highest Overcharge Technician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</si>
</sst>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28"/>
      <color theme="1"/>
      <name val="Calibri"/>
      <family val="2"/>
      <scheme val="minor"/>
    </font>
    <font>
      <sz val="16"/>
      <color theme="1"/>
      <name val="Calibri"/>
      <family val="2"/>
      <scheme val="minor"/>
    </font>
    <font>
      <sz val="14"/>
      <color theme="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6" tint="0.59999389629810485"/>
        <bgColor indexed="64"/>
      </patternFill>
    </fill>
  </fills>
  <borders count="10">
    <border>
      <left/>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4" fillId="5" borderId="3"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0" xfId="0" applyFont="1" applyFill="1" applyAlignment="1">
      <alignment horizontal="center" vertical="center"/>
    </xf>
    <xf numFmtId="0" fontId="4" fillId="5" borderId="6"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0" xfId="0" applyFont="1" applyFill="1" applyAlignment="1">
      <alignment horizontal="center" vertical="center"/>
    </xf>
    <xf numFmtId="0" fontId="3" fillId="5" borderId="6"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0" fontId="3" fillId="5" borderId="9" xfId="0" applyFont="1"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0" xfId="0" applyFill="1" applyAlignment="1">
      <alignment horizontal="center" vertical="center"/>
    </xf>
    <xf numFmtId="0" fontId="0" fillId="2" borderId="6" xfId="0" applyFill="1" applyBorder="1" applyAlignment="1">
      <alignment horizontal="center" vertical="center"/>
    </xf>
    <xf numFmtId="0" fontId="2" fillId="2" borderId="5" xfId="0" applyFont="1" applyFill="1" applyBorder="1" applyAlignment="1">
      <alignment horizontal="center" vertical="center"/>
    </xf>
    <xf numFmtId="0" fontId="2" fillId="2" borderId="0" xfId="0" applyFont="1" applyFill="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0" xfId="0" applyFill="1" applyAlignment="1">
      <alignment horizontal="center" vertical="center"/>
    </xf>
    <xf numFmtId="0" fontId="0" fillId="3" borderId="6" xfId="0"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0" xfId="0" applyFont="1" applyFill="1" applyAlignment="1">
      <alignment horizontal="center" vertic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[operations_issues_log.xlsx]PT1!PivotTable1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'PT1'!$B$4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'PT1'!$A$5:$A$28</c:f>
              <c:strCache>
                <c:ptCount val="23"/>
                <c:pt idx="0">
                  <c:v>KC</c:v>
                </c:pt>
                <c:pt idx="1">
                  <c:v>ZT</c:v>
                </c:pt>
                <c:pt idx="2">
                  <c:v>MM</c:v>
                </c:pt>
                <c:pt idx="3">
                  <c:v>SB</c:v>
                </c:pt>
                <c:pt idx="4">
                  <c:v>JC</c:v>
                </c:pt>
                <c:pt idx="5">
                  <c:v>GM</c:v>
                </c:pt>
                <c:pt idx="6">
                  <c:v>RN</c:v>
                </c:pt>
                <c:pt idx="7">
                  <c:v>SS</c:v>
                </c:pt>
                <c:pt idx="8">
                  <c:v>JD</c:v>
                </c:pt>
                <c:pt idx="9">
                  <c:v>AL</c:v>
                </c:pt>
                <c:pt idx="10">
                  <c:v>RB</c:v>
                </c:pt>
                <c:pt idx="11">
                  <c:v>CS</c:v>
                </c:pt>
                <c:pt idx="12">
                  <c:v>TB</c:v>
                </c:pt>
                <c:pt idx="13">
                  <c:v>JG</c:v>
                </c:pt>
                <c:pt idx="14">
                  <c:v>AD</c:v>
                </c:pt>
                <c:pt idx="15">
                  <c:v>LP</c:v>
                </c:pt>
                <c:pt idx="16">
                  <c:v>CM</c:v>
                </c:pt>
                <c:pt idx="17">
                  <c:v>KM</c:v>
                </c:pt>
                <c:pt idx="18">
                  <c:v>CH</c:v>
                </c:pt>
                <c:pt idx="19">
                  <c:v>DF</c:v>
                </c:pt>
                <c:pt idx="20">
                  <c:v>FF</c:v>
                </c:pt>
                <c:pt idx="21">
                  <c:v>KG</c:v>
                </c:pt>
                <c:pt idx="22">
                  <c:v>RL</c:v>
                </c:pt>
              </c:strCache>
            </c:strRef>
          </c:cat>
          <c:val>
            <c:numRef>
              <c:f>'PT1'!$B$5:$B$28</c:f>
              <c:numCache>
                <c:formatCode>General</c:formatCode>
                <c:ptCount val="23"/>
                <c:pt idx="0">
                  <c:v>135.00000000000006</c:v>
                </c:pt>
                <c:pt idx="1">
                  <c:v>243.00000000000014</c:v>
                </c:pt>
                <c:pt idx="2">
                  <c:v>261</c:v>
                </c:pt>
                <c:pt idx="3">
                  <c:v>306</c:v>
                </c:pt>
                <c:pt idx="4">
                  <c:v>368.99999999999989</c:v>
                </c:pt>
                <c:pt idx="5">
                  <c:v>369</c:v>
                </c:pt>
                <c:pt idx="6">
                  <c:v>396</c:v>
                </c:pt>
                <c:pt idx="7">
                  <c:v>431.99999999999994</c:v>
                </c:pt>
                <c:pt idx="8">
                  <c:v>468</c:v>
                </c:pt>
                <c:pt idx="9">
                  <c:v>486</c:v>
                </c:pt>
                <c:pt idx="10">
                  <c:v>503.99999999999989</c:v>
                </c:pt>
                <c:pt idx="11">
                  <c:v>540</c:v>
                </c:pt>
                <c:pt idx="12">
                  <c:v>648</c:v>
                </c:pt>
                <c:pt idx="13">
                  <c:v>665.99999999999989</c:v>
                </c:pt>
                <c:pt idx="14">
                  <c:v>683.99999999999989</c:v>
                </c:pt>
                <c:pt idx="15">
                  <c:v>684</c:v>
                </c:pt>
                <c:pt idx="16">
                  <c:v>783</c:v>
                </c:pt>
                <c:pt idx="17">
                  <c:v>792</c:v>
                </c:pt>
                <c:pt idx="18">
                  <c:v>801</c:v>
                </c:pt>
                <c:pt idx="19">
                  <c:v>954</c:v>
                </c:pt>
                <c:pt idx="20">
                  <c:v>999</c:v>
                </c:pt>
                <c:pt idx="21">
                  <c:v>1053</c:v>
                </c:pt>
                <c:pt idx="22">
                  <c:v>1161</c:v>
                </c:pt>
              </c:numCache>
            </c:numRef>
          </c:val>
          <c:extLst>
            <c:ext xmlns:c16="http://schemas.microsoft.com/office/drawing/2014/chart" uri="{C3380CC4-5D6E-409C-BE32-E72D297353CC}">
              <c16:uniqueId val="{00000000-EF33-4993-97A8-7F35A299BCF7}"/>
            </c:ext>
          </c:extLst>
        </c:ser>
        <c:dLbls>
          <c:showLegendKey val="0"/>
          <c:showVal val="0"/>
          <c:showCatName val="0"/>
          <c:showSerName val="0"/>
          <c:showPercent val="0"/>
          <c:showBubbleSize val="0"/>
        </c:dLbls>
        <c:gapWidth val="115"/>
        <c:overlap val="-20"/>
        <c:axId val="972853712"/>
        <c:axId val="972843152"/>
      </c:barChart>
      <c:catAx>
        <c:axId val="972853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972843152"/>
        <c:crosses val="autoZero"/>
        <c:auto val="1"/>
        <c:lblAlgn val="ctr"/>
        <c:lblOffset val="100"/>
        <c:noMultiLvlLbl val="0"/>
      </c:catAx>
      <c:valAx>
        <c:axId val="97284315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285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[operations_issues_log.xlsx]PT2!PivotTable2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'PT2'!$B$3</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'PT2'!$A$4:$A$8</c:f>
              <c:strCache>
                <c:ptCount val="4"/>
                <c:pt idx="0">
                  <c:v>High Cost Repair</c:v>
                </c:pt>
                <c:pt idx="1">
                  <c:v>Incorrect Labor Time</c:v>
                </c:pt>
                <c:pt idx="2">
                  <c:v>Overlapping Labor</c:v>
                </c:pt>
                <c:pt idx="3">
                  <c:v>Unnecessary Repair</c:v>
                </c:pt>
              </c:strCache>
            </c:strRef>
          </c:cat>
          <c:val>
            <c:numRef>
              <c:f>'PT2'!$B$4:$B$8</c:f>
              <c:numCache>
                <c:formatCode>General</c:formatCode>
                <c:ptCount val="4"/>
                <c:pt idx="0">
                  <c:v>30</c:v>
                </c:pt>
                <c:pt idx="1">
                  <c:v>72</c:v>
                </c:pt>
                <c:pt idx="2">
                  <c:v>52</c:v>
                </c:pt>
                <c:pt idx="3">
                  <c:v>47</c:v>
                </c:pt>
              </c:numCache>
            </c:numRef>
          </c:val>
          <c:extLst>
            <c:ext xmlns:c16="http://schemas.microsoft.com/office/drawing/2014/chart" uri="{C3380CC4-5D6E-409C-BE32-E72D297353CC}">
              <c16:uniqueId val="{00000000-F459-47AD-BB8C-2F27513F7328}"/>
            </c:ext>
          </c:extLst>
        </c:ser>
        <c:dLbls>
          <c:dLblPos val="inEnd"/>
          <c:showLegendKey val="0"/>
          <c:showVal val="1"/>
          <c:showCatName val="0"/>
          <c:showSerName val="0"/>
          <c:showPercent val="0"/>
          <c:showBubbleSize val="0"/>
        </c:dLbls>
        <c:gapWidth val="65"/>
        <c:axId val="967006608"/>
        <c:axId val="967018128"/>
      </c:barChart>
      <c:catAx>
        <c:axId val="9670066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7018128"/>
        <c:crosses val="autoZero"/>
        <c:auto val="1"/>
        <c:lblAlgn val="ctr"/>
        <c:lblOffset val="100"/>
        <c:noMultiLvlLbl val="0"/>
      </c:catAx>
      <c:valAx>
        <c:axId val="9670181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6700660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23811</xdr:colOff>
      <xdr:row>7</xdr:row>
      <xdr:rowOff>19049</xdr:rowOff>
    </xdr:from>
    <xdr:to>
      <xdr:col>19</xdr:col>
      <xdr:colOff>0</xdr:colOff>
      <xdr:row>22</xdr:row>
      <xdr:rowOff>133350</xdr:rowOff>
    </xdr:to>
    <xdr:graphicFrame macro="">
      <xdr:nvGraphicFramePr>
        <xdr:cNvPr id="2" name="Total Cost Overcharge by Technician">
          <a:extLst>
            <a:ext uri="{FF2B5EF4-FFF2-40B4-BE49-F238E27FC236}">
              <a16:creationId xmlns:a16="http://schemas.microsoft.com/office/drawing/2014/main" id="{BFC332B7-F260-E29A-B52D-085065948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42862</xdr:colOff>
      <xdr:row>7</xdr:row>
      <xdr:rowOff>19050</xdr:rowOff>
    </xdr:from>
    <xdr:to>
      <xdr:col>8</xdr:col>
      <xdr:colOff>228600</xdr:colOff>
      <xdr:row>22</xdr:row>
      <xdr:rowOff>95250</xdr:rowOff>
    </xdr:to>
    <xdr:graphicFrame macro="">
      <xdr:nvGraphicFramePr>
        <xdr:cNvPr id="3" name="Issue Frequency by Category">
          <a:extLst>
            <a:ext uri="{FF2B5EF4-FFF2-40B4-BE49-F238E27FC236}">
              <a16:creationId xmlns:a16="http://schemas.microsoft.com/office/drawing/2014/main" id="{2896441C-B2A8-05F4-C776-E5073F954E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600075</xdr:colOff>
      <xdr:row>23</xdr:row>
      <xdr:rowOff>19050</xdr:rowOff>
    </xdr:from>
    <xdr:to>
      <xdr:col>3</xdr:col>
      <xdr:colOff>600075</xdr:colOff>
      <xdr:row>36</xdr:row>
      <xdr:rowOff>66675</xdr:rowOff>
    </xdr:to>
    <mc:AlternateContent xmlns:mc="http://schemas.openxmlformats.org/markup-compatibility/2006" xmlns:a14="http://schemas.microsoft.com/office/drawing/2010/main">
      <mc:Choice Requires="a14">
        <xdr:graphicFrame macro="">
          <xdr:nvGraphicFramePr>
            <xdr:cNvPr id="4" name="OperationGroup">
              <a:extLst>
                <a:ext uri="{FF2B5EF4-FFF2-40B4-BE49-F238E27FC236}">
                  <a16:creationId xmlns:a16="http://schemas.microsoft.com/office/drawing/2014/main" id="{D3129371-18C2-4AA2-96E4-06036BEE6766}"/>
                </a:ext>
              </a:extLst>
            </xdr:cNvPr>
            <xdr:cNvGraphicFramePr/>
          </xdr:nvGraphicFramePr>
          <xdr:xfrm>
            <a:off x="0" y="0"/>
            <a:ext cx="0" cy="0"/>
          </xdr:xfrm>
          <a:graphic>
            <a:graphicData uri="http://schemas.microsoft.com/office/drawing/2010/slicer">
              <sle:slicer xmlns:sle="http://schemas.microsoft.com/office/drawing/2010/slicer" name="OperationGroup"/>
            </a:graphicData>
          </a:graphic>
        </xdr:graphicFrame>
      </mc:Choice>
      <mc:Fallback xmlns="">
        <xdr:sp macro="" textlink="">
          <xdr:nvSpPr>
            <xdr:cNvPr id="0" name=""/>
            <xdr:cNvSpPr>
              <a:spLocks noTextEdit="1"/>
            </xdr:cNvSpPr>
          </xdr:nvSpPr>
          <xdr:spPr>
            <a:xfrm>
              <a:off x="600075" y="440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9525</xdr:colOff>
      <xdr:row>23</xdr:row>
      <xdr:rowOff>9525</xdr:rowOff>
    </xdr:from>
    <xdr:to>
      <xdr:col>9</xdr:col>
      <xdr:colOff>9525</xdr:colOff>
      <xdr:row>36</xdr:row>
      <xdr:rowOff>57150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9B90926-EBB6-4D15-B601-BFA4171AC1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667125" y="4391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23</xdr:row>
      <xdr:rowOff>19050</xdr:rowOff>
    </xdr:from>
    <xdr:to>
      <xdr:col>14</xdr:col>
      <xdr:colOff>0</xdr:colOff>
      <xdr:row>36</xdr:row>
      <xdr:rowOff>66675</xdr:rowOff>
    </xdr:to>
    <mc:AlternateContent xmlns:mc="http://schemas.openxmlformats.org/markup-compatibility/2006" xmlns:a14="http://schemas.microsoft.com/office/drawing/2010/main">
      <mc:Choice Requires="a14">
        <xdr:graphicFrame macro="">
          <xdr:nvGraphicFramePr>
            <xdr:cNvPr id="6" name="TechInitials">
              <a:extLst>
                <a:ext uri="{FF2B5EF4-FFF2-40B4-BE49-F238E27FC236}">
                  <a16:creationId xmlns:a16="http://schemas.microsoft.com/office/drawing/2014/main" id="{193322A7-24CF-4E7C-B5AD-153EE7F4397F}"/>
                </a:ext>
              </a:extLst>
            </xdr:cNvPr>
            <xdr:cNvGraphicFramePr/>
          </xdr:nvGraphicFramePr>
          <xdr:xfrm>
            <a:off x="0" y="0"/>
            <a:ext cx="0" cy="0"/>
          </xdr:xfrm>
          <a:graphic>
            <a:graphicData uri="http://schemas.microsoft.com/office/drawing/2010/slicer">
              <sle:slicer xmlns:sle="http://schemas.microsoft.com/office/drawing/2010/slicer" name="TechInitials"/>
            </a:graphicData>
          </a:graphic>
        </xdr:graphicFrame>
      </mc:Choice>
      <mc:Fallback xmlns="">
        <xdr:sp macro="" textlink="">
          <xdr:nvSpPr>
            <xdr:cNvPr id="0" name=""/>
            <xdr:cNvSpPr>
              <a:spLocks noTextEdit="1"/>
            </xdr:cNvSpPr>
          </xdr:nvSpPr>
          <xdr:spPr>
            <a:xfrm>
              <a:off x="6705600" y="440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571500</xdr:colOff>
      <xdr:row>23</xdr:row>
      <xdr:rowOff>28575</xdr:rowOff>
    </xdr:from>
    <xdr:to>
      <xdr:col>18</xdr:col>
      <xdr:colOff>571500</xdr:colOff>
      <xdr:row>36</xdr:row>
      <xdr:rowOff>76200</xdr:rowOff>
    </xdr:to>
    <mc:AlternateContent xmlns:mc="http://schemas.openxmlformats.org/markup-compatibility/2006" xmlns:a14="http://schemas.microsoft.com/office/drawing/2010/main">
      <mc:Choice Requires="a14">
        <xdr:graphicFrame macro="">
          <xdr:nvGraphicFramePr>
            <xdr:cNvPr id="7" name="Week">
              <a:extLst>
                <a:ext uri="{FF2B5EF4-FFF2-40B4-BE49-F238E27FC236}">
                  <a16:creationId xmlns:a16="http://schemas.microsoft.com/office/drawing/2014/main" id="{54451ACE-BC3E-4D91-911F-C9B9148D327E}"/>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9715500" y="4410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on Summers" refreshedDate="45982.615702777781" createdVersion="8" refreshedVersion="8" minRefreshableVersion="3" recordCount="201" xr:uid="{2638CEB4-DCBD-4829-99EB-BE788BC286D8}">
  <cacheSource type="worksheet">
    <worksheetSource name="tblROIssues"/>
  </cacheSource>
  <cacheFields count="19">
    <cacheField name="Week" numFmtId="0">
      <sharedItems containsSemiMixedTypes="0" containsString="0" containsNumber="1" containsInteger="1" minValue="1" maxValue="8" count="8">
        <n v="1"/>
        <n v="2"/>
        <n v="3"/>
        <n v="4"/>
        <n v="5"/>
        <n v="6"/>
        <n v="7"/>
        <n v="8"/>
      </sharedItems>
    </cacheField>
    <cacheField name="RO_Number" numFmtId="0">
      <sharedItems containsSemiMixedTypes="0" containsString="0" containsNumber="1" containsInteger="1" minValue="2343001" maxValue="2343590"/>
    </cacheField>
    <cacheField name="TechInitials" numFmtId="0">
      <sharedItems count="23">
        <s v="CM"/>
        <s v="FF"/>
        <s v="KG"/>
        <s v="KM"/>
        <s v="AL"/>
        <s v="TB"/>
        <s v="RL"/>
        <s v="DF"/>
        <s v="ZT"/>
        <s v="JD"/>
        <s v="CS"/>
        <s v="SB"/>
        <s v="JG"/>
        <s v="RN"/>
        <s v="LP"/>
        <s v="JC"/>
        <s v="MM"/>
        <s v="GM"/>
        <s v="RB"/>
        <s v="KC"/>
        <s v="CH"/>
        <s v="AD"/>
        <s v="SS"/>
      </sharedItems>
    </cacheField>
    <cacheField name="Category" numFmtId="0">
      <sharedItems count="4">
        <s v="Overlapping Labor"/>
        <s v="Incorrect Labor Time"/>
        <s v="High Cost Repair"/>
        <s v="Unnecessary Repair"/>
      </sharedItems>
    </cacheField>
    <cacheField name="ActionTaken" numFmtId="0">
      <sharedItems count="5">
        <s v="Adjusted Labor"/>
        <s v="None"/>
        <s v="Coaching Only"/>
        <s v="No Action"/>
        <s v="Declined"/>
      </sharedItems>
    </cacheField>
    <cacheField name="OperationGroup" numFmtId="0">
      <sharedItems count="12">
        <s v="Brakes"/>
        <s v="Engine"/>
        <s v="Electrical"/>
        <s v="Noise / Rattle"/>
        <s v="Alignment"/>
        <s v="AC / HVAC"/>
        <s v="Maintenance"/>
        <s v="Steering"/>
        <s v="Diagnostics"/>
        <s v="Suspension"/>
        <s v="TPMS"/>
        <s v="Interior"/>
      </sharedItems>
    </cacheField>
    <cacheField name="BuildType" numFmtId="0">
      <sharedItems/>
    </cacheField>
    <cacheField name="DateReviewed" numFmtId="0">
      <sharedItems/>
    </cacheField>
    <cacheField name="LaborHours_Billed" numFmtId="0">
      <sharedItems containsSemiMixedTypes="0" containsString="0" containsNumber="1" minValue="0.3" maxValue="4.5"/>
    </cacheField>
    <cacheField name="LaborHours_Correct" numFmtId="0">
      <sharedItems containsSemiMixedTypes="0" containsString="0" containsNumber="1" minValue="0.3" maxValue="4.4000000000000004"/>
    </cacheField>
    <cacheField name="PartsCost" numFmtId="0">
      <sharedItems containsSemiMixedTypes="0" containsString="0" containsNumber="1" minValue="2.48" maxValue="448.59"/>
    </cacheField>
    <cacheField name="TotalEstimatedCost" numFmtId="0">
      <sharedItems containsSemiMixedTypes="0" containsString="0" containsNumber="1" minValue="55.42" maxValue="818.77"/>
    </cacheField>
    <cacheField name="HighCostFlag" numFmtId="0">
      <sharedItems/>
    </cacheField>
    <cacheField name="Notes" numFmtId="0">
      <sharedItems/>
    </cacheField>
    <cacheField name="LaborRate" numFmtId="0">
      <sharedItems containsSemiMixedTypes="0" containsString="0" containsNumber="1" containsInteger="1" minValue="90" maxValue="90"/>
    </cacheField>
    <cacheField name="LaborCost_Billed" numFmtId="0">
      <sharedItems containsSemiMixedTypes="0" containsString="0" containsNumber="1" minValue="27" maxValue="405"/>
    </cacheField>
    <cacheField name="LaborCost_Correct" numFmtId="0">
      <sharedItems containsSemiMixedTypes="0" containsString="0" containsNumber="1" minValue="27" maxValue="396.00000000000006"/>
    </cacheField>
    <cacheField name="CostOvercharge" numFmtId="0">
      <sharedItems containsSemiMixedTypes="0" containsString="0" containsNumber="1" minValue="0" maxValue="162.00000000000003"/>
    </cacheField>
    <cacheField name="IssueSeverity" numFmtId="0">
      <sharedItems count="3">
        <s v="Medium"/>
        <s v="Low"/>
        <s v="None"/>
      </sharedItems>
    </cacheField>
  </cacheFields>
  <extLst>
    <ext xmlns:x14="http://schemas.microsoft.com/office/spreadsheetml/2009/9/main" uri="{725AE2AE-9491-48be-B2B4-4EB974FC3084}">
      <x14:pivotCacheDefinition pivotCacheId="1397143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n v="2343001"/>
    <x v="0"/>
    <x v="0"/>
    <x v="0"/>
    <x v="0"/>
    <s v="Retail"/>
    <s v="2025-01-06"/>
    <n v="1.9"/>
    <n v="0.3"/>
    <n v="329.4"/>
    <n v="500.4"/>
    <s v="No"/>
    <s v="Machine rotor and resurface pads written as separate lines instead of combo operation."/>
    <n v="90"/>
    <n v="171"/>
    <n v="27"/>
    <n v="144"/>
    <x v="0"/>
  </r>
  <r>
    <x v="0"/>
    <n v="2343069"/>
    <x v="1"/>
    <x v="1"/>
    <x v="0"/>
    <x v="1"/>
    <s v="Production"/>
    <s v="2025-01-02"/>
    <n v="3.7"/>
    <n v="2.1"/>
    <n v="143.1"/>
    <n v="476.1"/>
    <s v="No"/>
    <s v="Incorrect Labor Time on Engine work; review labor guide and WIP usage."/>
    <n v="90"/>
    <n v="333"/>
    <n v="189"/>
    <n v="144"/>
    <x v="0"/>
  </r>
  <r>
    <x v="0"/>
    <n v="2343072"/>
    <x v="2"/>
    <x v="2"/>
    <x v="1"/>
    <x v="2"/>
    <s v="Production"/>
    <s v="2025-01-01"/>
    <n v="2.1"/>
    <n v="0.6"/>
    <n v="387.33"/>
    <n v="576.33000000000004"/>
    <s v="Yes"/>
    <s v="High Cost Repair on Electrical work; review labor guide and WIP usage."/>
    <n v="90"/>
    <n v="189"/>
    <n v="54"/>
    <n v="135"/>
    <x v="0"/>
  </r>
  <r>
    <x v="0"/>
    <n v="2343030"/>
    <x v="3"/>
    <x v="0"/>
    <x v="1"/>
    <x v="3"/>
    <s v="Retail"/>
    <s v="2025-01-01"/>
    <n v="4.4000000000000004"/>
    <n v="3"/>
    <n v="422.77"/>
    <n v="818.77"/>
    <s v="Yes"/>
    <s v="Overlapping Labor on Noise / Rattle work; review labor guide and WIP usage."/>
    <n v="90"/>
    <n v="396.00000000000006"/>
    <n v="270"/>
    <n v="126.00000000000006"/>
    <x v="0"/>
  </r>
  <r>
    <x v="0"/>
    <n v="2343041"/>
    <x v="4"/>
    <x v="0"/>
    <x v="1"/>
    <x v="2"/>
    <s v="Retail"/>
    <s v="2025-01-04"/>
    <n v="3.4"/>
    <n v="2"/>
    <n v="33.32"/>
    <n v="339.32"/>
    <s v="No"/>
    <s v="Overlapping Labor on Electrical work; review labor guide and WIP usage."/>
    <n v="90"/>
    <n v="306"/>
    <n v="180"/>
    <n v="126"/>
    <x v="0"/>
  </r>
  <r>
    <x v="0"/>
    <n v="2343064"/>
    <x v="5"/>
    <x v="0"/>
    <x v="0"/>
    <x v="2"/>
    <s v="Production"/>
    <s v="2025-01-03"/>
    <n v="4"/>
    <n v="2.6"/>
    <n v="83.96"/>
    <n v="443.96"/>
    <s v="No"/>
    <s v="Overlapping Labor on Electrical work; review labor guide and WIP usage."/>
    <n v="90"/>
    <n v="360"/>
    <n v="234"/>
    <n v="126"/>
    <x v="0"/>
  </r>
  <r>
    <x v="0"/>
    <n v="2343047"/>
    <x v="6"/>
    <x v="2"/>
    <x v="1"/>
    <x v="3"/>
    <s v="Retail"/>
    <s v="2025-01-03"/>
    <n v="1.7"/>
    <n v="0.4"/>
    <n v="286.89999999999998"/>
    <n v="439.9"/>
    <s v="Yes"/>
    <s v="High Cost Repair on Noise / Rattle work; review labor guide and WIP usage."/>
    <n v="90"/>
    <n v="153"/>
    <n v="36"/>
    <n v="117"/>
    <x v="0"/>
  </r>
  <r>
    <x v="0"/>
    <n v="2343046"/>
    <x v="7"/>
    <x v="1"/>
    <x v="2"/>
    <x v="4"/>
    <s v="Retail"/>
    <s v="2025-01-06"/>
    <n v="3.9"/>
    <n v="2.8"/>
    <n v="148.9"/>
    <n v="499.9"/>
    <s v="No"/>
    <s v="Incorrect Labor Time on Alignment work; review labor guide and WIP usage."/>
    <n v="90"/>
    <n v="351"/>
    <n v="251.99999999999997"/>
    <n v="99.000000000000028"/>
    <x v="0"/>
  </r>
  <r>
    <x v="0"/>
    <n v="2343053"/>
    <x v="8"/>
    <x v="2"/>
    <x v="3"/>
    <x v="5"/>
    <s v="Production"/>
    <s v="2025-01-05"/>
    <n v="2.4"/>
    <n v="1.5"/>
    <n v="192.39"/>
    <n v="408.39"/>
    <s v="Yes"/>
    <s v="High cost AC repair compared to guide; compressor and condenser replaced together."/>
    <n v="90"/>
    <n v="216"/>
    <n v="135"/>
    <n v="81"/>
    <x v="0"/>
  </r>
  <r>
    <x v="0"/>
    <n v="2343075"/>
    <x v="9"/>
    <x v="0"/>
    <x v="0"/>
    <x v="6"/>
    <s v="Production"/>
    <s v="2025-01-01"/>
    <n v="1.7"/>
    <n v="0.8"/>
    <n v="316.36"/>
    <n v="469.36"/>
    <s v="No"/>
    <s v="Overlapping Labor on Maintenance work; review labor guide and WIP usage."/>
    <n v="90"/>
    <n v="153"/>
    <n v="72"/>
    <n v="81"/>
    <x v="0"/>
  </r>
  <r>
    <x v="0"/>
    <n v="2343060"/>
    <x v="10"/>
    <x v="1"/>
    <x v="0"/>
    <x v="5"/>
    <s v="Production"/>
    <s v="2025-01-07"/>
    <n v="1.3"/>
    <n v="0.6"/>
    <n v="340"/>
    <n v="457"/>
    <s v="No"/>
    <s v="Incorrect Labor Time on AC / HVAC work; review labor guide and WIP usage."/>
    <n v="90"/>
    <n v="117"/>
    <n v="54"/>
    <n v="63"/>
    <x v="1"/>
  </r>
  <r>
    <x v="0"/>
    <n v="2343025"/>
    <x v="5"/>
    <x v="0"/>
    <x v="0"/>
    <x v="2"/>
    <s v="Production"/>
    <s v="2025-01-06"/>
    <n v="3.1"/>
    <n v="2.5"/>
    <n v="234.03"/>
    <n v="513.03"/>
    <s v="No"/>
    <s v="Overlapping Labor on Electrical work; review labor guide and WIP usage."/>
    <n v="90"/>
    <n v="279"/>
    <n v="225"/>
    <n v="54"/>
    <x v="1"/>
  </r>
  <r>
    <x v="0"/>
    <n v="2343010"/>
    <x v="0"/>
    <x v="0"/>
    <x v="0"/>
    <x v="2"/>
    <s v="Retail"/>
    <s v="2025-01-02"/>
    <n v="1.1000000000000001"/>
    <n v="0.6"/>
    <n v="236.14"/>
    <n v="335.14"/>
    <s v="No"/>
    <s v="Overlapping Labor on Electrical work; review labor guide and WIP usage."/>
    <n v="90"/>
    <n v="99.000000000000014"/>
    <n v="54"/>
    <n v="45.000000000000014"/>
    <x v="1"/>
  </r>
  <r>
    <x v="0"/>
    <n v="2343035"/>
    <x v="11"/>
    <x v="1"/>
    <x v="3"/>
    <x v="7"/>
    <s v="Retail"/>
    <s v="2025-01-02"/>
    <n v="1.9"/>
    <n v="1.4"/>
    <n v="372.93"/>
    <n v="543.92999999999995"/>
    <s v="No"/>
    <s v="Incorrect Labor Time on Steering work; review labor guide and WIP usage."/>
    <n v="90"/>
    <n v="171"/>
    <n v="125.99999999999999"/>
    <n v="45.000000000000014"/>
    <x v="1"/>
  </r>
  <r>
    <x v="0"/>
    <n v="2343020"/>
    <x v="3"/>
    <x v="2"/>
    <x v="0"/>
    <x v="2"/>
    <s v="Production"/>
    <s v="2025-01-02"/>
    <n v="3.7"/>
    <n v="3.2"/>
    <n v="43.95"/>
    <n v="376.95"/>
    <s v="Yes"/>
    <s v="High Cost Repair on Electrical work; review labor guide and WIP usage."/>
    <n v="90"/>
    <n v="333"/>
    <n v="288"/>
    <n v="45"/>
    <x v="1"/>
  </r>
  <r>
    <x v="0"/>
    <n v="2343023"/>
    <x v="12"/>
    <x v="3"/>
    <x v="0"/>
    <x v="8"/>
    <s v="Production"/>
    <s v="2025-01-05"/>
    <n v="0.8"/>
    <n v="0.3"/>
    <n v="15.47"/>
    <n v="87.47"/>
    <s v="No"/>
    <s v="Unnecessary Repair on Diagnostics work; review labor guide and WIP usage."/>
    <n v="90"/>
    <n v="72"/>
    <n v="27"/>
    <n v="45"/>
    <x v="1"/>
  </r>
  <r>
    <x v="0"/>
    <n v="2343051"/>
    <x v="13"/>
    <x v="1"/>
    <x v="2"/>
    <x v="6"/>
    <s v="Retail"/>
    <s v="2025-01-05"/>
    <n v="0.8"/>
    <n v="0.3"/>
    <n v="342.35"/>
    <n v="414.35"/>
    <s v="No"/>
    <s v="Retail diagnostic labor (2.1/0.9) used instead of production WIP line."/>
    <n v="90"/>
    <n v="72"/>
    <n v="27"/>
    <n v="45"/>
    <x v="1"/>
  </r>
  <r>
    <x v="0"/>
    <n v="2343040"/>
    <x v="3"/>
    <x v="2"/>
    <x v="0"/>
    <x v="1"/>
    <s v="Production"/>
    <s v="2025-01-07"/>
    <n v="3.5"/>
    <n v="3.1"/>
    <n v="2.48"/>
    <n v="317.48"/>
    <s v="Yes"/>
    <s v="High cost engine repair; multiple overlapping labor lines on same concern."/>
    <n v="90"/>
    <n v="315"/>
    <n v="279"/>
    <n v="36"/>
    <x v="1"/>
  </r>
  <r>
    <x v="0"/>
    <n v="2343074"/>
    <x v="3"/>
    <x v="3"/>
    <x v="0"/>
    <x v="1"/>
    <s v="Production"/>
    <s v="2025-01-01"/>
    <n v="2.1"/>
    <n v="1.7"/>
    <n v="53.94"/>
    <n v="242.94"/>
    <s v="No"/>
    <s v="Unnecessary Repair on Engine work; review labor guide and WIP usage."/>
    <n v="90"/>
    <n v="189"/>
    <n v="153"/>
    <n v="36"/>
    <x v="1"/>
  </r>
  <r>
    <x v="0"/>
    <n v="2343014"/>
    <x v="14"/>
    <x v="1"/>
    <x v="0"/>
    <x v="6"/>
    <s v="Retail"/>
    <s v="2025-01-03"/>
    <n v="3.6"/>
    <n v="3.2"/>
    <n v="231.41"/>
    <n v="555.41"/>
    <s v="No"/>
    <s v="Retail diagnostic labor (2.2/1.9) used instead of production WIP line."/>
    <n v="90"/>
    <n v="324"/>
    <n v="288"/>
    <n v="36"/>
    <x v="1"/>
  </r>
  <r>
    <x v="0"/>
    <n v="2343037"/>
    <x v="14"/>
    <x v="1"/>
    <x v="0"/>
    <x v="9"/>
    <s v="Production"/>
    <s v="2025-01-04"/>
    <n v="2.6"/>
    <n v="2.2999999999999998"/>
    <n v="360.99"/>
    <n v="594.99"/>
    <s v="No"/>
    <s v="Incorrect Labor Time on Suspension work; review labor guide and WIP usage."/>
    <n v="90"/>
    <n v="234"/>
    <n v="206.99999999999997"/>
    <n v="27.000000000000028"/>
    <x v="1"/>
  </r>
  <r>
    <x v="0"/>
    <n v="2343013"/>
    <x v="15"/>
    <x v="3"/>
    <x v="0"/>
    <x v="4"/>
    <s v="Production"/>
    <s v="2025-01-07"/>
    <n v="2.9"/>
    <n v="2.6"/>
    <n v="131.47"/>
    <n v="392.47"/>
    <s v="No"/>
    <s v="Unnecessary Repair on Alignment work; review labor guide and WIP usage."/>
    <n v="90"/>
    <n v="261"/>
    <n v="234"/>
    <n v="27"/>
    <x v="1"/>
  </r>
  <r>
    <x v="0"/>
    <n v="2343063"/>
    <x v="3"/>
    <x v="3"/>
    <x v="3"/>
    <x v="8"/>
    <s v="Retail"/>
    <s v="2025-01-04"/>
    <n v="1.5"/>
    <n v="1.2"/>
    <n v="418.36"/>
    <n v="553.36"/>
    <s v="No"/>
    <s v="Unnecessary Repair on Diagnostics work; review labor guide and WIP usage."/>
    <n v="90"/>
    <n v="135"/>
    <n v="108"/>
    <n v="27"/>
    <x v="1"/>
  </r>
  <r>
    <x v="0"/>
    <n v="2343019"/>
    <x v="12"/>
    <x v="1"/>
    <x v="1"/>
    <x v="10"/>
    <s v="Retail"/>
    <s v="2025-01-03"/>
    <n v="2.9"/>
    <n v="2.6"/>
    <n v="29.27"/>
    <n v="290.27"/>
    <s v="No"/>
    <s v="Incorrect Labor Time on TPMS work; review labor guide and WIP usage."/>
    <n v="90"/>
    <n v="261"/>
    <n v="234"/>
    <n v="27"/>
    <x v="1"/>
  </r>
  <r>
    <x v="0"/>
    <n v="2343033"/>
    <x v="2"/>
    <x v="1"/>
    <x v="0"/>
    <x v="8"/>
    <s v="Production"/>
    <s v="2025-01-03"/>
    <n v="4.2"/>
    <n v="4"/>
    <n v="88.19"/>
    <n v="466.19"/>
    <s v="No"/>
    <s v="Incorrect Labor Time on Diagnostics work; review labor guide and WIP usage."/>
    <n v="90"/>
    <n v="378"/>
    <n v="360"/>
    <n v="18"/>
    <x v="1"/>
  </r>
  <r>
    <x v="0"/>
    <n v="2343007"/>
    <x v="5"/>
    <x v="3"/>
    <x v="1"/>
    <x v="1"/>
    <s v="Retail"/>
    <s v="2025-01-05"/>
    <n v="0.4"/>
    <n v="0.3"/>
    <n v="374.6"/>
    <n v="410.6"/>
    <s v="No"/>
    <s v="Unnecessary Repair on Engine work; review labor guide and WIP usage."/>
    <n v="90"/>
    <n v="36"/>
    <n v="27"/>
    <n v="9"/>
    <x v="1"/>
  </r>
  <r>
    <x v="0"/>
    <n v="2343006"/>
    <x v="16"/>
    <x v="1"/>
    <x v="0"/>
    <x v="10"/>
    <s v="Retail"/>
    <s v="2025-01-05"/>
    <n v="1"/>
    <n v="0.9"/>
    <n v="389.78"/>
    <n v="479.78"/>
    <s v="No"/>
    <s v="Incorrect Labor Time on TPMS work; review labor guide and WIP usage."/>
    <n v="90"/>
    <n v="90"/>
    <n v="81"/>
    <n v="9"/>
    <x v="1"/>
  </r>
  <r>
    <x v="0"/>
    <n v="2343055"/>
    <x v="4"/>
    <x v="1"/>
    <x v="0"/>
    <x v="8"/>
    <s v="Production"/>
    <s v="2025-01-01"/>
    <n v="0.4"/>
    <n v="0.3"/>
    <n v="141.46"/>
    <n v="177.46"/>
    <s v="No"/>
    <s v="Incorrect Labor Time on Diagnostics work; review labor guide and WIP usage."/>
    <n v="90"/>
    <n v="36"/>
    <n v="27"/>
    <n v="9"/>
    <x v="1"/>
  </r>
  <r>
    <x v="1"/>
    <n v="2343153"/>
    <x v="6"/>
    <x v="3"/>
    <x v="1"/>
    <x v="6"/>
    <s v="Production"/>
    <s v="2025-01-12"/>
    <n v="2.9"/>
    <n v="1.1000000000000001"/>
    <n v="63.04"/>
    <n v="324.04000000000002"/>
    <s v="No"/>
    <s v="Added separate labor to remove under shield in addition to oil change line."/>
    <n v="90"/>
    <n v="261"/>
    <n v="99.000000000000014"/>
    <n v="162"/>
    <x v="0"/>
  </r>
  <r>
    <x v="1"/>
    <n v="2343143"/>
    <x v="16"/>
    <x v="0"/>
    <x v="1"/>
    <x v="10"/>
    <s v="Retail"/>
    <s v="2025-01-09"/>
    <n v="4.2"/>
    <n v="2.5"/>
    <n v="411.69"/>
    <n v="789.69"/>
    <s v="Yes"/>
    <s v="Overlapping Labor on TPMS work; review labor guide and WIP usage."/>
    <n v="90"/>
    <n v="378"/>
    <n v="225"/>
    <n v="153"/>
    <x v="0"/>
  </r>
  <r>
    <x v="1"/>
    <n v="2343151"/>
    <x v="12"/>
    <x v="2"/>
    <x v="1"/>
    <x v="4"/>
    <s v="Production"/>
    <s v="2025-01-09"/>
    <n v="2.6"/>
    <n v="0.9"/>
    <n v="313.20999999999998"/>
    <n v="547.21"/>
    <s v="Yes"/>
    <s v="High Cost Repair on Alignment work; review labor guide and WIP usage."/>
    <n v="90"/>
    <n v="234"/>
    <n v="81"/>
    <n v="153"/>
    <x v="0"/>
  </r>
  <r>
    <x v="1"/>
    <n v="2343112"/>
    <x v="17"/>
    <x v="0"/>
    <x v="0"/>
    <x v="9"/>
    <s v="Production"/>
    <s v="2025-01-14"/>
    <n v="3.1"/>
    <n v="1.6"/>
    <n v="249.84"/>
    <n v="528.84"/>
    <s v="No"/>
    <s v="Overlapping Labor on Suspension work; review labor guide and WIP usage."/>
    <n v="90"/>
    <n v="279"/>
    <n v="144"/>
    <n v="135"/>
    <x v="0"/>
  </r>
  <r>
    <x v="1"/>
    <n v="2343119"/>
    <x v="2"/>
    <x v="3"/>
    <x v="3"/>
    <x v="0"/>
    <s v="Production"/>
    <s v="2025-01-12"/>
    <n v="1.8"/>
    <n v="0.5"/>
    <n v="403.7"/>
    <n v="565.70000000000005"/>
    <s v="No"/>
    <s v="Brake noise diag performed with no worn components; pads and rotors within spec."/>
    <n v="90"/>
    <n v="162"/>
    <n v="45"/>
    <n v="117"/>
    <x v="0"/>
  </r>
  <r>
    <x v="1"/>
    <n v="2343155"/>
    <x v="3"/>
    <x v="2"/>
    <x v="2"/>
    <x v="4"/>
    <s v="Production"/>
    <s v="2025-01-08"/>
    <n v="3.4"/>
    <n v="2.1"/>
    <n v="316.12"/>
    <n v="622.12"/>
    <s v="Yes"/>
    <s v="High Cost Repair on Alignment work; review labor guide and WIP usage."/>
    <n v="90"/>
    <n v="306"/>
    <n v="189"/>
    <n v="117"/>
    <x v="0"/>
  </r>
  <r>
    <x v="1"/>
    <n v="2343124"/>
    <x v="0"/>
    <x v="1"/>
    <x v="2"/>
    <x v="8"/>
    <s v="Retail"/>
    <s v="2025-01-09"/>
    <n v="2.6"/>
    <n v="1.4"/>
    <n v="293.38"/>
    <n v="527.38"/>
    <s v="No"/>
    <s v="Incorrect Labor Time on Diagnostics work; review labor guide and WIP usage."/>
    <n v="90"/>
    <n v="234"/>
    <n v="125.99999999999999"/>
    <n v="108.00000000000001"/>
    <x v="0"/>
  </r>
  <r>
    <x v="1"/>
    <n v="2343092"/>
    <x v="7"/>
    <x v="3"/>
    <x v="0"/>
    <x v="2"/>
    <s v="Production"/>
    <s v="2025-01-08"/>
    <n v="1.8"/>
    <n v="0.7"/>
    <n v="285.08999999999997"/>
    <n v="447.09"/>
    <s v="No"/>
    <s v="Unnecessary Repair on Electrical work; review labor guide and WIP usage."/>
    <n v="90"/>
    <n v="162"/>
    <n v="62.999999999999993"/>
    <n v="99"/>
    <x v="0"/>
  </r>
  <r>
    <x v="1"/>
    <n v="2343131"/>
    <x v="7"/>
    <x v="0"/>
    <x v="1"/>
    <x v="9"/>
    <s v="Production"/>
    <s v="2025-01-13"/>
    <n v="3.1"/>
    <n v="2.1"/>
    <n v="42.15"/>
    <n v="321.14999999999998"/>
    <s v="No"/>
    <s v="Overlapping Labor on Suspension work; review labor guide and WIP usage."/>
    <n v="90"/>
    <n v="279"/>
    <n v="189"/>
    <n v="90"/>
    <x v="0"/>
  </r>
  <r>
    <x v="1"/>
    <n v="2343136"/>
    <x v="0"/>
    <x v="0"/>
    <x v="4"/>
    <x v="8"/>
    <s v="Retail"/>
    <s v="2025-01-09"/>
    <n v="1.3"/>
    <n v="0.3"/>
    <n v="176.89"/>
    <n v="293.89"/>
    <s v="No"/>
    <s v="Multiple diag lines (ABS, lane departure, CEL) for same root cause issue."/>
    <n v="90"/>
    <n v="117"/>
    <n v="27"/>
    <n v="90"/>
    <x v="0"/>
  </r>
  <r>
    <x v="1"/>
    <n v="2343087"/>
    <x v="17"/>
    <x v="1"/>
    <x v="0"/>
    <x v="4"/>
    <s v="Retail"/>
    <s v="2025-01-09"/>
    <n v="1.3"/>
    <n v="0.3"/>
    <n v="342.73"/>
    <n v="459.73"/>
    <s v="No"/>
    <s v="Incorrect Labor Time on Alignment work; review labor guide and WIP usage."/>
    <n v="90"/>
    <n v="117"/>
    <n v="27"/>
    <n v="90"/>
    <x v="0"/>
  </r>
  <r>
    <x v="1"/>
    <n v="2343139"/>
    <x v="15"/>
    <x v="2"/>
    <x v="1"/>
    <x v="0"/>
    <s v="Retail"/>
    <s v="2025-01-09"/>
    <n v="3.6"/>
    <n v="2.7"/>
    <n v="259.61"/>
    <n v="583.61"/>
    <s v="Yes"/>
    <s v="High Cost Repair on Brakes work; review labor guide and WIP usage."/>
    <n v="90"/>
    <n v="324"/>
    <n v="243.00000000000003"/>
    <n v="80.999999999999972"/>
    <x v="0"/>
  </r>
  <r>
    <x v="1"/>
    <n v="2343146"/>
    <x v="13"/>
    <x v="0"/>
    <x v="4"/>
    <x v="2"/>
    <s v="Retail"/>
    <s v="2025-01-08"/>
    <n v="4.2"/>
    <n v="3.4"/>
    <n v="434.99"/>
    <n v="812.99"/>
    <s v="Yes"/>
    <s v="Overlapping Labor on Electrical work; review labor guide and WIP usage."/>
    <n v="90"/>
    <n v="378"/>
    <n v="306"/>
    <n v="72"/>
    <x v="1"/>
  </r>
  <r>
    <x v="1"/>
    <n v="2343102"/>
    <x v="0"/>
    <x v="2"/>
    <x v="0"/>
    <x v="3"/>
    <s v="Production"/>
    <s v="2025-01-11"/>
    <n v="1"/>
    <n v="0.3"/>
    <n v="174.03"/>
    <n v="264.02999999999997"/>
    <s v="Yes"/>
    <s v="High Cost Repair on Noise / Rattle work; review labor guide and WIP usage."/>
    <n v="90"/>
    <n v="90"/>
    <n v="27"/>
    <n v="63"/>
    <x v="1"/>
  </r>
  <r>
    <x v="1"/>
    <n v="2343148"/>
    <x v="5"/>
    <x v="3"/>
    <x v="0"/>
    <x v="1"/>
    <s v="Production"/>
    <s v="2025-01-08"/>
    <n v="1.5"/>
    <n v="0.8"/>
    <n v="383.01"/>
    <n v="518.01"/>
    <s v="No"/>
    <s v="Unnecessary Repair on Engine work; review labor guide and WIP usage."/>
    <n v="90"/>
    <n v="135"/>
    <n v="72"/>
    <n v="63"/>
    <x v="1"/>
  </r>
  <r>
    <x v="1"/>
    <n v="2343129"/>
    <x v="18"/>
    <x v="3"/>
    <x v="0"/>
    <x v="10"/>
    <s v="Retail"/>
    <s v="2025-01-10"/>
    <n v="1.3"/>
    <n v="0.7"/>
    <n v="335.92"/>
    <n v="452.92"/>
    <s v="No"/>
    <s v="TPMS diag 2.4 with no faults found; tire pressure was low only."/>
    <n v="90"/>
    <n v="117"/>
    <n v="62.999999999999993"/>
    <n v="54.000000000000007"/>
    <x v="1"/>
  </r>
  <r>
    <x v="1"/>
    <n v="2343096"/>
    <x v="5"/>
    <x v="3"/>
    <x v="1"/>
    <x v="1"/>
    <s v="Retail"/>
    <s v="2025-01-08"/>
    <n v="3.8"/>
    <n v="3.2"/>
    <n v="83.93"/>
    <n v="425.93"/>
    <s v="No"/>
    <s v="Unnecessary Repair on Engine work; review labor guide and WIP usage."/>
    <n v="90"/>
    <n v="342"/>
    <n v="288"/>
    <n v="54"/>
    <x v="1"/>
  </r>
  <r>
    <x v="1"/>
    <n v="2343142"/>
    <x v="19"/>
    <x v="0"/>
    <x v="3"/>
    <x v="1"/>
    <s v="Retail"/>
    <s v="2025-01-14"/>
    <n v="3.3"/>
    <n v="2.8"/>
    <n v="10.94"/>
    <n v="307.94"/>
    <s v="No"/>
    <s v="Overlapping Labor on Engine work; review labor guide and WIP usage."/>
    <n v="90"/>
    <n v="297"/>
    <n v="251.99999999999997"/>
    <n v="45.000000000000028"/>
    <x v="1"/>
  </r>
  <r>
    <x v="1"/>
    <n v="2343077"/>
    <x v="18"/>
    <x v="0"/>
    <x v="0"/>
    <x v="0"/>
    <s v="Production"/>
    <s v="2025-01-12"/>
    <n v="4.3"/>
    <n v="3.8"/>
    <n v="223.76"/>
    <n v="610.76"/>
    <s v="No"/>
    <s v="Machine rotor and resurface pads written as separate lines instead of combo operation."/>
    <n v="90"/>
    <n v="387"/>
    <n v="342"/>
    <n v="45"/>
    <x v="1"/>
  </r>
  <r>
    <x v="1"/>
    <n v="2343117"/>
    <x v="13"/>
    <x v="3"/>
    <x v="4"/>
    <x v="4"/>
    <s v="Retail"/>
    <s v="2025-01-08"/>
    <n v="0.7"/>
    <n v="0.3"/>
    <n v="405.19"/>
    <n v="468.19"/>
    <s v="No"/>
    <s v="Unnecessary Repair on Alignment work; review labor guide and WIP usage."/>
    <n v="90"/>
    <n v="62.999999999999993"/>
    <n v="27"/>
    <n v="35.999999999999993"/>
    <x v="1"/>
  </r>
  <r>
    <x v="1"/>
    <n v="2343086"/>
    <x v="12"/>
    <x v="1"/>
    <x v="4"/>
    <x v="11"/>
    <s v="Production"/>
    <s v="2025-01-13"/>
    <n v="4.0999999999999996"/>
    <n v="3.7"/>
    <n v="65.2"/>
    <n v="434.2"/>
    <s v="No"/>
    <s v="Incorrect Labor Time on Interior work; review labor guide and WIP usage."/>
    <n v="90"/>
    <n v="368.99999999999994"/>
    <n v="333"/>
    <n v="35.999999999999943"/>
    <x v="1"/>
  </r>
  <r>
    <x v="1"/>
    <n v="2343120"/>
    <x v="20"/>
    <x v="0"/>
    <x v="4"/>
    <x v="5"/>
    <s v="Retail"/>
    <s v="2025-01-13"/>
    <n v="3"/>
    <n v="2.8"/>
    <n v="72.73"/>
    <n v="342.73"/>
    <s v="No"/>
    <s v="Overlapping Labor on AC / HVAC work; review labor guide and WIP usage."/>
    <n v="90"/>
    <n v="270"/>
    <n v="251.99999999999997"/>
    <n v="18.000000000000028"/>
    <x v="1"/>
  </r>
  <r>
    <x v="1"/>
    <n v="2343082"/>
    <x v="6"/>
    <x v="3"/>
    <x v="4"/>
    <x v="2"/>
    <s v="Retail"/>
    <s v="2025-01-13"/>
    <n v="0.5"/>
    <n v="0.3"/>
    <n v="226.21"/>
    <n v="271.20999999999998"/>
    <s v="No"/>
    <s v="Unnecessary Repair on Electrical work; review labor guide and WIP usage."/>
    <n v="90"/>
    <n v="45"/>
    <n v="27"/>
    <n v="18"/>
    <x v="1"/>
  </r>
  <r>
    <x v="1"/>
    <n v="2343107"/>
    <x v="6"/>
    <x v="0"/>
    <x v="0"/>
    <x v="5"/>
    <s v="Production"/>
    <s v="2025-01-12"/>
    <n v="1.7"/>
    <n v="1.5"/>
    <n v="416.11"/>
    <n v="569.11"/>
    <s v="No"/>
    <s v="Overlapping Labor on AC / HVAC work; review labor guide and WIP usage."/>
    <n v="90"/>
    <n v="153"/>
    <n v="135"/>
    <n v="18"/>
    <x v="1"/>
  </r>
  <r>
    <x v="1"/>
    <n v="2343098"/>
    <x v="13"/>
    <x v="1"/>
    <x v="4"/>
    <x v="4"/>
    <s v="Production"/>
    <s v="2025-01-09"/>
    <n v="3.1"/>
    <n v="3.1"/>
    <n v="230.44"/>
    <n v="509.44"/>
    <s v="No"/>
    <s v="Incorrect Labor Time on Alignment work; review labor guide and WIP usage."/>
    <n v="90"/>
    <n v="279"/>
    <n v="279"/>
    <n v="0"/>
    <x v="2"/>
  </r>
  <r>
    <x v="1"/>
    <n v="2343123"/>
    <x v="3"/>
    <x v="1"/>
    <x v="0"/>
    <x v="7"/>
    <s v="Production"/>
    <s v="2025-01-14"/>
    <n v="0.3"/>
    <n v="0.3"/>
    <n v="298.58"/>
    <n v="325.58"/>
    <s v="No"/>
    <s v="Incorrect Labor Time on Steering work; review labor guide and WIP usage."/>
    <n v="90"/>
    <n v="27"/>
    <n v="27"/>
    <n v="0"/>
    <x v="2"/>
  </r>
  <r>
    <x v="2"/>
    <n v="2343213"/>
    <x v="13"/>
    <x v="0"/>
    <x v="4"/>
    <x v="0"/>
    <s v="Retail"/>
    <s v="2025-01-20"/>
    <n v="1.9"/>
    <n v="0.3"/>
    <n v="407.41"/>
    <n v="578.41"/>
    <s v="No"/>
    <s v="Machine rotor and resurface pads written as separate lines instead of combo operation."/>
    <n v="90"/>
    <n v="171"/>
    <n v="27"/>
    <n v="144"/>
    <x v="0"/>
  </r>
  <r>
    <x v="2"/>
    <n v="2343204"/>
    <x v="20"/>
    <x v="3"/>
    <x v="1"/>
    <x v="7"/>
    <s v="Production"/>
    <s v="2025-01-19"/>
    <n v="2.4"/>
    <n v="0.9"/>
    <n v="296.41000000000003"/>
    <n v="512.41"/>
    <s v="No"/>
    <s v="Unnecessary Repair on Steering work; review labor guide and WIP usage."/>
    <n v="90"/>
    <n v="216"/>
    <n v="81"/>
    <n v="135"/>
    <x v="0"/>
  </r>
  <r>
    <x v="2"/>
    <n v="2343158"/>
    <x v="20"/>
    <x v="0"/>
    <x v="3"/>
    <x v="4"/>
    <s v="Retail"/>
    <s v="2025-01-21"/>
    <n v="3.7"/>
    <n v="2.2000000000000002"/>
    <n v="390.18"/>
    <n v="723.18"/>
    <s v="Yes"/>
    <s v="Added separate alignment line on top of steering component labor that already includes alignment."/>
    <n v="90"/>
    <n v="333"/>
    <n v="198.00000000000003"/>
    <n v="134.99999999999997"/>
    <x v="0"/>
  </r>
  <r>
    <x v="2"/>
    <n v="2343159"/>
    <x v="2"/>
    <x v="2"/>
    <x v="3"/>
    <x v="0"/>
    <s v="Production"/>
    <s v="2025-01-18"/>
    <n v="2.4"/>
    <n v="1"/>
    <n v="292.48"/>
    <n v="508.48"/>
    <s v="Yes"/>
    <s v="High Cost Repair on Brakes work; review labor guide and WIP usage."/>
    <n v="90"/>
    <n v="216"/>
    <n v="90"/>
    <n v="126"/>
    <x v="0"/>
  </r>
  <r>
    <x v="2"/>
    <n v="2343194"/>
    <x v="14"/>
    <x v="3"/>
    <x v="0"/>
    <x v="1"/>
    <s v="Production"/>
    <s v="2025-01-17"/>
    <n v="1.8"/>
    <n v="0.4"/>
    <n v="6.48"/>
    <n v="168.48"/>
    <s v="No"/>
    <s v="Unnecessary Repair on Engine work; review labor guide and WIP usage."/>
    <n v="90"/>
    <n v="162"/>
    <n v="36"/>
    <n v="126"/>
    <x v="0"/>
  </r>
  <r>
    <x v="2"/>
    <n v="2343171"/>
    <x v="15"/>
    <x v="1"/>
    <x v="0"/>
    <x v="3"/>
    <s v="Production"/>
    <s v="2025-01-19"/>
    <n v="2.5"/>
    <n v="1.1000000000000001"/>
    <n v="97.12"/>
    <n v="322.12"/>
    <s v="No"/>
    <s v="Incorrect Labor Time on Noise / Rattle work; review labor guide and WIP usage."/>
    <n v="90"/>
    <n v="225"/>
    <n v="99.000000000000014"/>
    <n v="125.99999999999999"/>
    <x v="0"/>
  </r>
  <r>
    <x v="2"/>
    <n v="2343186"/>
    <x v="1"/>
    <x v="1"/>
    <x v="0"/>
    <x v="4"/>
    <s v="Retail"/>
    <s v="2025-01-16"/>
    <n v="2.6"/>
    <n v="1.3"/>
    <n v="297.08999999999997"/>
    <n v="531.09"/>
    <s v="No"/>
    <s v="Incorrect Labor Time on Alignment work; review labor guide and WIP usage."/>
    <n v="90"/>
    <n v="234"/>
    <n v="117"/>
    <n v="117"/>
    <x v="0"/>
  </r>
  <r>
    <x v="2"/>
    <n v="2343209"/>
    <x v="7"/>
    <x v="0"/>
    <x v="1"/>
    <x v="1"/>
    <s v="Production"/>
    <s v="2025-01-19"/>
    <n v="1.9"/>
    <n v="0.7"/>
    <n v="206.21"/>
    <n v="377.21"/>
    <s v="No"/>
    <s v="Overlapping Labor on Engine work; review labor guide and WIP usage."/>
    <n v="90"/>
    <n v="171"/>
    <n v="62.999999999999993"/>
    <n v="108"/>
    <x v="0"/>
  </r>
  <r>
    <x v="2"/>
    <n v="2343203"/>
    <x v="6"/>
    <x v="1"/>
    <x v="0"/>
    <x v="7"/>
    <s v="Production"/>
    <s v="2025-01-21"/>
    <n v="2.9"/>
    <n v="1.8"/>
    <n v="20.39"/>
    <n v="281.39"/>
    <s v="No"/>
    <s v="Incorrect Labor Time on Steering work; review labor guide and WIP usage."/>
    <n v="90"/>
    <n v="261"/>
    <n v="162"/>
    <n v="99"/>
    <x v="0"/>
  </r>
  <r>
    <x v="2"/>
    <n v="2343190"/>
    <x v="21"/>
    <x v="0"/>
    <x v="0"/>
    <x v="2"/>
    <s v="Production"/>
    <s v="2025-01-19"/>
    <n v="3.4"/>
    <n v="2.4"/>
    <n v="275.27"/>
    <n v="581.27"/>
    <s v="No"/>
    <s v="Overlapping Labor on Electrical work; review labor guide and WIP usage."/>
    <n v="90"/>
    <n v="306"/>
    <n v="216"/>
    <n v="90"/>
    <x v="0"/>
  </r>
  <r>
    <x v="2"/>
    <n v="2343177"/>
    <x v="6"/>
    <x v="0"/>
    <x v="1"/>
    <x v="7"/>
    <s v="Retail"/>
    <s v="2025-01-15"/>
    <n v="4.4000000000000004"/>
    <n v="3.5"/>
    <n v="145.33000000000001"/>
    <n v="541.33000000000004"/>
    <s v="No"/>
    <s v="Overlapping Labor on Steering work; review labor guide and WIP usage."/>
    <n v="90"/>
    <n v="396.00000000000006"/>
    <n v="315"/>
    <n v="81.000000000000057"/>
    <x v="0"/>
  </r>
  <r>
    <x v="2"/>
    <n v="2343199"/>
    <x v="1"/>
    <x v="0"/>
    <x v="0"/>
    <x v="2"/>
    <s v="Production"/>
    <s v="2025-01-16"/>
    <n v="2.4"/>
    <n v="1.5"/>
    <n v="77.94"/>
    <n v="293.94"/>
    <s v="No"/>
    <s v="Overlapping Labor on Electrical work; review labor guide and WIP usage."/>
    <n v="90"/>
    <n v="216"/>
    <n v="135"/>
    <n v="81"/>
    <x v="0"/>
  </r>
  <r>
    <x v="2"/>
    <n v="2343184"/>
    <x v="10"/>
    <x v="1"/>
    <x v="0"/>
    <x v="0"/>
    <s v="Production"/>
    <s v="2025-01-18"/>
    <n v="3.2"/>
    <n v="2.5"/>
    <n v="77.98"/>
    <n v="365.98"/>
    <s v="No"/>
    <s v="Used full R&amp;R rotor and pad labor instead of combo labor (0.8/0.3)."/>
    <n v="90"/>
    <n v="288"/>
    <n v="225"/>
    <n v="63"/>
    <x v="1"/>
  </r>
  <r>
    <x v="2"/>
    <n v="2343162"/>
    <x v="22"/>
    <x v="0"/>
    <x v="3"/>
    <x v="0"/>
    <s v="Production"/>
    <s v="2025-01-18"/>
    <n v="4"/>
    <n v="3.4"/>
    <n v="169.01"/>
    <n v="529.01"/>
    <s v="No"/>
    <s v="Machine rotor and resurface pads written as separate lines instead of combo operation."/>
    <n v="90"/>
    <n v="360"/>
    <n v="306"/>
    <n v="54"/>
    <x v="1"/>
  </r>
  <r>
    <x v="2"/>
    <n v="2343165"/>
    <x v="18"/>
    <x v="2"/>
    <x v="2"/>
    <x v="0"/>
    <s v="Production"/>
    <s v="2025-01-18"/>
    <n v="0.5"/>
    <n v="0.3"/>
    <n v="244.19"/>
    <n v="289.19"/>
    <s v="Yes"/>
    <s v="High Cost Repair on Brakes work; review labor guide and WIP usage."/>
    <n v="90"/>
    <n v="45"/>
    <n v="27"/>
    <n v="18"/>
    <x v="1"/>
  </r>
  <r>
    <x v="2"/>
    <n v="2343172"/>
    <x v="2"/>
    <x v="2"/>
    <x v="0"/>
    <x v="10"/>
    <s v="Production"/>
    <s v="2025-01-19"/>
    <n v="0.5"/>
    <n v="0.3"/>
    <n v="243.29"/>
    <n v="288.29000000000002"/>
    <s v="Yes"/>
    <s v="High Cost Repair on TPMS work; review labor guide and WIP usage."/>
    <n v="90"/>
    <n v="45"/>
    <n v="27"/>
    <n v="18"/>
    <x v="1"/>
  </r>
  <r>
    <x v="2"/>
    <n v="2343195"/>
    <x v="3"/>
    <x v="0"/>
    <x v="0"/>
    <x v="0"/>
    <s v="Retail"/>
    <s v="2025-01-16"/>
    <n v="0.5"/>
    <n v="0.3"/>
    <n v="316.64999999999998"/>
    <n v="361.65"/>
    <s v="No"/>
    <s v="Machine rotor and resurface pads written as separate lines instead of combo operation."/>
    <n v="90"/>
    <n v="45"/>
    <n v="27"/>
    <n v="18"/>
    <x v="1"/>
  </r>
  <r>
    <x v="2"/>
    <n v="2343170"/>
    <x v="10"/>
    <x v="2"/>
    <x v="0"/>
    <x v="8"/>
    <s v="Retail"/>
    <s v="2025-01-17"/>
    <n v="0.4"/>
    <n v="0.3"/>
    <n v="370.17"/>
    <n v="406.17"/>
    <s v="Yes"/>
    <s v="High Cost Repair on Diagnostics work; review labor guide and WIP usage."/>
    <n v="90"/>
    <n v="36"/>
    <n v="27"/>
    <n v="9"/>
    <x v="1"/>
  </r>
  <r>
    <x v="2"/>
    <n v="2343180"/>
    <x v="1"/>
    <x v="1"/>
    <x v="1"/>
    <x v="11"/>
    <s v="Retail"/>
    <s v="2025-01-17"/>
    <n v="2.1"/>
    <n v="2"/>
    <n v="11.41"/>
    <n v="200.41"/>
    <s v="No"/>
    <s v="Incorrect Labor Time on Interior work; review labor guide and WIP usage."/>
    <n v="90"/>
    <n v="189"/>
    <n v="180"/>
    <n v="9"/>
    <x v="1"/>
  </r>
  <r>
    <x v="2"/>
    <n v="2343206"/>
    <x v="15"/>
    <x v="1"/>
    <x v="1"/>
    <x v="7"/>
    <s v="Production"/>
    <s v="2025-01-19"/>
    <n v="3"/>
    <n v="3"/>
    <n v="263.60000000000002"/>
    <n v="533.6"/>
    <s v="No"/>
    <s v="Incorrect Labor Time on Steering work; review labor guide and WIP usage."/>
    <n v="90"/>
    <n v="270"/>
    <n v="270"/>
    <n v="0"/>
    <x v="2"/>
  </r>
  <r>
    <x v="3"/>
    <n v="2343266"/>
    <x v="2"/>
    <x v="2"/>
    <x v="0"/>
    <x v="9"/>
    <s v="Production"/>
    <s v="2025-01-23"/>
    <n v="4.3"/>
    <n v="2.5"/>
    <n v="339.02"/>
    <n v="726.02"/>
    <s v="Yes"/>
    <s v="High Cost Repair on Suspension work; review labor guide and WIP usage."/>
    <n v="90"/>
    <n v="387"/>
    <n v="225"/>
    <n v="162"/>
    <x v="0"/>
  </r>
  <r>
    <x v="3"/>
    <n v="2343236"/>
    <x v="5"/>
    <x v="0"/>
    <x v="4"/>
    <x v="9"/>
    <s v="Retail"/>
    <s v="2025-01-23"/>
    <n v="4.2"/>
    <n v="2.7"/>
    <n v="193.05"/>
    <n v="571.04999999999995"/>
    <s v="No"/>
    <s v="Overlapping Labor on Suspension work; review labor guide and WIP usage."/>
    <n v="90"/>
    <n v="378"/>
    <n v="243.00000000000003"/>
    <n v="134.99999999999997"/>
    <x v="0"/>
  </r>
  <r>
    <x v="3"/>
    <n v="2343253"/>
    <x v="18"/>
    <x v="0"/>
    <x v="4"/>
    <x v="11"/>
    <s v="Retail"/>
    <s v="2025-01-24"/>
    <n v="3.6"/>
    <n v="2.2000000000000002"/>
    <n v="41.04"/>
    <n v="365.04"/>
    <s v="No"/>
    <s v="Overlapping Labor on Interior work; review labor guide and WIP usage."/>
    <n v="90"/>
    <n v="324"/>
    <n v="198.00000000000003"/>
    <n v="125.99999999999997"/>
    <x v="0"/>
  </r>
  <r>
    <x v="3"/>
    <n v="2343221"/>
    <x v="10"/>
    <x v="2"/>
    <x v="0"/>
    <x v="0"/>
    <s v="Retail"/>
    <s v="2025-01-23"/>
    <n v="1.6"/>
    <n v="0.3"/>
    <n v="10.47"/>
    <n v="154.47"/>
    <s v="Yes"/>
    <s v="High Cost Repair on Brakes work; review labor guide and WIP usage."/>
    <n v="90"/>
    <n v="144"/>
    <n v="27"/>
    <n v="117"/>
    <x v="0"/>
  </r>
  <r>
    <x v="3"/>
    <n v="2343246"/>
    <x v="6"/>
    <x v="3"/>
    <x v="1"/>
    <x v="0"/>
    <s v="Production"/>
    <s v="2025-01-22"/>
    <n v="1.6"/>
    <n v="0.3"/>
    <n v="427.77"/>
    <n v="571.77"/>
    <s v="No"/>
    <s v="Brake noise diag performed with no worn components; pads and rotors within spec."/>
    <n v="90"/>
    <n v="144"/>
    <n v="27"/>
    <n v="117"/>
    <x v="0"/>
  </r>
  <r>
    <x v="3"/>
    <n v="2343267"/>
    <x v="9"/>
    <x v="0"/>
    <x v="3"/>
    <x v="9"/>
    <s v="Retail"/>
    <s v="2025-01-26"/>
    <n v="3.6"/>
    <n v="2.6"/>
    <n v="190.9"/>
    <n v="514.9"/>
    <s v="No"/>
    <s v="Overlapping Labor on Suspension work; review labor guide and WIP usage."/>
    <n v="90"/>
    <n v="324"/>
    <n v="234"/>
    <n v="90"/>
    <x v="0"/>
  </r>
  <r>
    <x v="3"/>
    <n v="2343255"/>
    <x v="11"/>
    <x v="3"/>
    <x v="2"/>
    <x v="10"/>
    <s v="Retail"/>
    <s v="2025-01-23"/>
    <n v="2.6"/>
    <n v="1.8"/>
    <n v="399.47"/>
    <n v="633.47"/>
    <s v="No"/>
    <s v="TPMS diag 1.4 with no faults found; tire pressure was low only."/>
    <n v="90"/>
    <n v="234"/>
    <n v="162"/>
    <n v="72"/>
    <x v="1"/>
  </r>
  <r>
    <x v="3"/>
    <n v="2343232"/>
    <x v="2"/>
    <x v="1"/>
    <x v="3"/>
    <x v="5"/>
    <s v="Retail"/>
    <s v="2025-01-28"/>
    <n v="4.5"/>
    <n v="3.8"/>
    <n v="167.41"/>
    <n v="572.41"/>
    <s v="No"/>
    <s v="Incorrect Labor Time on AC / HVAC work; review labor guide and WIP usage."/>
    <n v="90"/>
    <n v="405"/>
    <n v="342"/>
    <n v="63"/>
    <x v="1"/>
  </r>
  <r>
    <x v="3"/>
    <n v="2343241"/>
    <x v="7"/>
    <x v="2"/>
    <x v="2"/>
    <x v="1"/>
    <s v="Production"/>
    <s v="2025-01-26"/>
    <n v="4.0999999999999996"/>
    <n v="3.4"/>
    <n v="4.88"/>
    <n v="373.88"/>
    <s v="Yes"/>
    <s v="High cost engine repair; multiple overlapping labor lines on same concern."/>
    <n v="90"/>
    <n v="368.99999999999994"/>
    <n v="306"/>
    <n v="62.999999999999943"/>
    <x v="1"/>
  </r>
  <r>
    <x v="3"/>
    <n v="2343257"/>
    <x v="0"/>
    <x v="0"/>
    <x v="0"/>
    <x v="2"/>
    <s v="Retail"/>
    <s v="2025-01-23"/>
    <n v="0.9"/>
    <n v="0.3"/>
    <n v="278.2"/>
    <n v="359.2"/>
    <s v="No"/>
    <s v="Overlapping Labor on Electrical work; review labor guide and WIP usage."/>
    <n v="90"/>
    <n v="81"/>
    <n v="27"/>
    <n v="54"/>
    <x v="1"/>
  </r>
  <r>
    <x v="3"/>
    <n v="2343249"/>
    <x v="2"/>
    <x v="1"/>
    <x v="4"/>
    <x v="5"/>
    <s v="Production"/>
    <s v="2025-01-24"/>
    <n v="2.2000000000000002"/>
    <n v="1.7"/>
    <n v="147.9"/>
    <n v="345.9"/>
    <s v="No"/>
    <s v="Incorrect Labor Time on AC / HVAC work; review labor guide and WIP usage."/>
    <n v="90"/>
    <n v="198.00000000000003"/>
    <n v="153"/>
    <n v="45.000000000000028"/>
    <x v="1"/>
  </r>
  <r>
    <x v="3"/>
    <n v="2343274"/>
    <x v="20"/>
    <x v="3"/>
    <x v="4"/>
    <x v="7"/>
    <s v="Production"/>
    <s v="2025-01-26"/>
    <n v="1.9"/>
    <n v="1.4"/>
    <n v="390.87"/>
    <n v="561.87"/>
    <s v="No"/>
    <s v="Unnecessary Repair on Steering work; review labor guide and WIP usage."/>
    <n v="90"/>
    <n v="171"/>
    <n v="125.99999999999999"/>
    <n v="45.000000000000014"/>
    <x v="1"/>
  </r>
  <r>
    <x v="3"/>
    <n v="2343227"/>
    <x v="2"/>
    <x v="2"/>
    <x v="4"/>
    <x v="7"/>
    <s v="Production"/>
    <s v="2025-01-28"/>
    <n v="3.7"/>
    <n v="3.2"/>
    <n v="79.849999999999994"/>
    <n v="412.85"/>
    <s v="Yes"/>
    <s v="High Cost Repair on Steering work; review labor guide and WIP usage."/>
    <n v="90"/>
    <n v="333"/>
    <n v="288"/>
    <n v="45"/>
    <x v="1"/>
  </r>
  <r>
    <x v="3"/>
    <n v="2343272"/>
    <x v="6"/>
    <x v="3"/>
    <x v="2"/>
    <x v="7"/>
    <s v="Production"/>
    <s v="2025-01-27"/>
    <n v="0.8"/>
    <n v="0.3"/>
    <n v="335.72"/>
    <n v="407.72"/>
    <s v="No"/>
    <s v="Unnecessary Repair on Steering work; review labor guide and WIP usage."/>
    <n v="90"/>
    <n v="72"/>
    <n v="27"/>
    <n v="45"/>
    <x v="1"/>
  </r>
  <r>
    <x v="3"/>
    <n v="2343223"/>
    <x v="16"/>
    <x v="1"/>
    <x v="0"/>
    <x v="2"/>
    <s v="Retail"/>
    <s v="2025-01-28"/>
    <n v="0.8"/>
    <n v="0.3"/>
    <n v="283.02"/>
    <n v="355.02"/>
    <s v="No"/>
    <s v="Full R&amp;R door panel labor used instead of R&amp;I for switch access (3.1/1.9)."/>
    <n v="90"/>
    <n v="72"/>
    <n v="27"/>
    <n v="45"/>
    <x v="1"/>
  </r>
  <r>
    <x v="3"/>
    <n v="2343262"/>
    <x v="13"/>
    <x v="2"/>
    <x v="0"/>
    <x v="10"/>
    <s v="Retail"/>
    <s v="2025-01-27"/>
    <n v="0.7"/>
    <n v="0.3"/>
    <n v="168.42"/>
    <n v="231.42"/>
    <s v="Yes"/>
    <s v="High Cost Repair on TPMS work; review labor guide and WIP usage."/>
    <n v="90"/>
    <n v="62.999999999999993"/>
    <n v="27"/>
    <n v="35.999999999999993"/>
    <x v="1"/>
  </r>
  <r>
    <x v="3"/>
    <n v="2343239"/>
    <x v="20"/>
    <x v="1"/>
    <x v="0"/>
    <x v="7"/>
    <s v="Production"/>
    <s v="2025-01-27"/>
    <n v="0.7"/>
    <n v="0.3"/>
    <n v="227.36"/>
    <n v="290.36"/>
    <s v="No"/>
    <s v="Incorrect Labor Time on Steering work; review labor guide and WIP usage."/>
    <n v="90"/>
    <n v="62.999999999999993"/>
    <n v="27"/>
    <n v="35.999999999999993"/>
    <x v="1"/>
  </r>
  <r>
    <x v="3"/>
    <n v="2343261"/>
    <x v="9"/>
    <x v="1"/>
    <x v="0"/>
    <x v="9"/>
    <s v="Production"/>
    <s v="2025-01-27"/>
    <n v="3.2"/>
    <n v="3.1"/>
    <n v="369.84"/>
    <n v="657.84"/>
    <s v="Yes"/>
    <s v="Incorrect Labor Time on Suspension work; review labor guide and WIP usage."/>
    <n v="90"/>
    <n v="288"/>
    <n v="279"/>
    <n v="9"/>
    <x v="1"/>
  </r>
  <r>
    <x v="3"/>
    <n v="2343278"/>
    <x v="7"/>
    <x v="1"/>
    <x v="1"/>
    <x v="0"/>
    <s v="Production"/>
    <s v="2025-01-28"/>
    <n v="0.4"/>
    <n v="0.3"/>
    <n v="19.420000000000002"/>
    <n v="55.42"/>
    <s v="No"/>
    <s v="Used full R&amp;R rotor and pad labor instead of combo labor (3.2/2.3)."/>
    <n v="90"/>
    <n v="36"/>
    <n v="27"/>
    <n v="9"/>
    <x v="1"/>
  </r>
  <r>
    <x v="3"/>
    <n v="2343279"/>
    <x v="18"/>
    <x v="2"/>
    <x v="0"/>
    <x v="2"/>
    <s v="Production"/>
    <s v="2025-01-25"/>
    <n v="4.5"/>
    <n v="4.4000000000000004"/>
    <n v="249.23"/>
    <n v="654.23"/>
    <s v="Yes"/>
    <s v="High Cost Repair on Electrical work; review labor guide and WIP usage."/>
    <n v="90"/>
    <n v="405"/>
    <n v="396.00000000000006"/>
    <n v="8.9999999999999432"/>
    <x v="1"/>
  </r>
  <r>
    <x v="3"/>
    <n v="2343218"/>
    <x v="6"/>
    <x v="0"/>
    <x v="0"/>
    <x v="10"/>
    <s v="Retail"/>
    <s v="2025-01-24"/>
    <n v="0.7"/>
    <n v="0.7"/>
    <n v="42.5"/>
    <n v="105.5"/>
    <s v="No"/>
    <s v="Overlapping Labor on TPMS work; review labor guide and WIP usage."/>
    <n v="90"/>
    <n v="62.999999999999993"/>
    <n v="62.999999999999993"/>
    <n v="0"/>
    <x v="2"/>
  </r>
  <r>
    <x v="3"/>
    <n v="2343268"/>
    <x v="12"/>
    <x v="1"/>
    <x v="1"/>
    <x v="10"/>
    <s v="Production"/>
    <s v="2025-01-22"/>
    <n v="2.4"/>
    <n v="2.4"/>
    <n v="210.9"/>
    <n v="426.9"/>
    <s v="No"/>
    <s v="Incorrect Labor Time on TPMS work; review labor guide and WIP usage."/>
    <n v="90"/>
    <n v="216"/>
    <n v="216"/>
    <n v="0"/>
    <x v="2"/>
  </r>
  <r>
    <x v="4"/>
    <n v="2343334"/>
    <x v="7"/>
    <x v="3"/>
    <x v="1"/>
    <x v="7"/>
    <s v="Production"/>
    <s v="2025-02-02"/>
    <n v="2.2000000000000002"/>
    <n v="0.4"/>
    <n v="221.68"/>
    <n v="419.68"/>
    <s v="No"/>
    <s v="Unnecessary Repair on Steering work; review labor guide and WIP usage."/>
    <n v="90"/>
    <n v="198.00000000000003"/>
    <n v="36"/>
    <n v="162.00000000000003"/>
    <x v="0"/>
  </r>
  <r>
    <x v="4"/>
    <n v="2343305"/>
    <x v="0"/>
    <x v="1"/>
    <x v="4"/>
    <x v="2"/>
    <s v="Retail"/>
    <s v="2025-01-29"/>
    <n v="3.7"/>
    <n v="1.9"/>
    <n v="448.49"/>
    <n v="781.49"/>
    <s v="Yes"/>
    <s v="Full R&amp;R door panel labor used instead of R&amp;I for switch access (2.1/0.9)."/>
    <n v="90"/>
    <n v="333"/>
    <n v="171"/>
    <n v="162"/>
    <x v="0"/>
  </r>
  <r>
    <x v="4"/>
    <n v="2343308"/>
    <x v="6"/>
    <x v="3"/>
    <x v="0"/>
    <x v="1"/>
    <s v="Production"/>
    <s v="2025-02-03"/>
    <n v="4.3"/>
    <n v="2.8"/>
    <n v="111.31"/>
    <n v="498.31"/>
    <s v="No"/>
    <s v="Unnecessary Repair on Engine work; review labor guide and WIP usage."/>
    <n v="90"/>
    <n v="387"/>
    <n v="251.99999999999997"/>
    <n v="135.00000000000003"/>
    <x v="0"/>
  </r>
  <r>
    <x v="4"/>
    <n v="2343318"/>
    <x v="22"/>
    <x v="2"/>
    <x v="2"/>
    <x v="5"/>
    <s v="Production"/>
    <s v="2025-02-02"/>
    <n v="2.5"/>
    <n v="1"/>
    <n v="248.36"/>
    <n v="473.36"/>
    <s v="Yes"/>
    <s v="High cost AC repair compared to guide; compressor and condenser replaced together."/>
    <n v="90"/>
    <n v="225"/>
    <n v="90"/>
    <n v="135"/>
    <x v="0"/>
  </r>
  <r>
    <x v="4"/>
    <n v="2343328"/>
    <x v="6"/>
    <x v="0"/>
    <x v="0"/>
    <x v="10"/>
    <s v="Retail"/>
    <s v="2025-01-30"/>
    <n v="2.5"/>
    <n v="1.1000000000000001"/>
    <n v="178.44"/>
    <n v="403.44"/>
    <s v="No"/>
    <s v="Overlapping Labor on TPMS work; review labor guide and WIP usage."/>
    <n v="90"/>
    <n v="225"/>
    <n v="99.000000000000014"/>
    <n v="125.99999999999999"/>
    <x v="0"/>
  </r>
  <r>
    <x v="4"/>
    <n v="2343280"/>
    <x v="6"/>
    <x v="2"/>
    <x v="0"/>
    <x v="0"/>
    <s v="Production"/>
    <s v="2025-01-31"/>
    <n v="2.9"/>
    <n v="1.6"/>
    <n v="204.54"/>
    <n v="465.54"/>
    <s v="Yes"/>
    <s v="High Cost Repair on Brakes work; review labor guide and WIP usage."/>
    <n v="90"/>
    <n v="261"/>
    <n v="144"/>
    <n v="117"/>
    <x v="0"/>
  </r>
  <r>
    <x v="4"/>
    <n v="2343285"/>
    <x v="14"/>
    <x v="1"/>
    <x v="4"/>
    <x v="0"/>
    <s v="Production"/>
    <s v="2025-02-03"/>
    <n v="2.2000000000000002"/>
    <n v="1.1000000000000001"/>
    <n v="124.82"/>
    <n v="322.82"/>
    <s v="No"/>
    <s v="Used full R&amp;R rotor and pad labor instead of combo labor (0.9/0.3)."/>
    <n v="90"/>
    <n v="198.00000000000003"/>
    <n v="99.000000000000014"/>
    <n v="99.000000000000014"/>
    <x v="0"/>
  </r>
  <r>
    <x v="4"/>
    <n v="2343289"/>
    <x v="7"/>
    <x v="0"/>
    <x v="0"/>
    <x v="0"/>
    <s v="Production"/>
    <s v="2025-01-31"/>
    <n v="1.8"/>
    <n v="0.7"/>
    <n v="34.979999999999997"/>
    <n v="196.98"/>
    <s v="No"/>
    <s v="Machine rotor and resurface pads written as separate lines instead of combo operation."/>
    <n v="90"/>
    <n v="162"/>
    <n v="62.999999999999993"/>
    <n v="99"/>
    <x v="0"/>
  </r>
  <r>
    <x v="4"/>
    <n v="2343309"/>
    <x v="4"/>
    <x v="3"/>
    <x v="4"/>
    <x v="5"/>
    <s v="Production"/>
    <s v="2025-01-29"/>
    <n v="4.3"/>
    <n v="3.2"/>
    <n v="102.89"/>
    <n v="489.89"/>
    <s v="No"/>
    <s v="Unnecessary Repair on AC / HVAC work; review labor guide and WIP usage."/>
    <n v="90"/>
    <n v="387"/>
    <n v="288"/>
    <n v="99"/>
    <x v="0"/>
  </r>
  <r>
    <x v="4"/>
    <n v="2343294"/>
    <x v="12"/>
    <x v="1"/>
    <x v="4"/>
    <x v="2"/>
    <s v="Production"/>
    <s v="2025-01-31"/>
    <n v="3.2"/>
    <n v="2.2000000000000002"/>
    <n v="139.29"/>
    <n v="427.29"/>
    <s v="No"/>
    <s v="Full R&amp;R door panel labor used instead of R&amp;I for switch access (2.9/1.8)."/>
    <n v="90"/>
    <n v="288"/>
    <n v="198.00000000000003"/>
    <n v="89.999999999999972"/>
    <x v="0"/>
  </r>
  <r>
    <x v="4"/>
    <n v="2343298"/>
    <x v="14"/>
    <x v="1"/>
    <x v="1"/>
    <x v="0"/>
    <s v="Retail"/>
    <s v="2025-02-01"/>
    <n v="2.9"/>
    <n v="2.1"/>
    <n v="419.73"/>
    <n v="680.73"/>
    <s v="Yes"/>
    <s v="Used full R&amp;R rotor and pad labor instead of combo labor (3.1/2.8)."/>
    <n v="90"/>
    <n v="261"/>
    <n v="189"/>
    <n v="72"/>
    <x v="1"/>
  </r>
  <r>
    <x v="4"/>
    <n v="2343297"/>
    <x v="9"/>
    <x v="1"/>
    <x v="0"/>
    <x v="0"/>
    <s v="Production"/>
    <s v="2025-01-31"/>
    <n v="1"/>
    <n v="0.3"/>
    <n v="370.14"/>
    <n v="460.14"/>
    <s v="No"/>
    <s v="Used full R&amp;R rotor and pad labor instead of combo labor (3.3/2.2)."/>
    <n v="90"/>
    <n v="90"/>
    <n v="27"/>
    <n v="63"/>
    <x v="1"/>
  </r>
  <r>
    <x v="4"/>
    <n v="2343304"/>
    <x v="17"/>
    <x v="1"/>
    <x v="1"/>
    <x v="0"/>
    <s v="Production"/>
    <s v="2025-02-01"/>
    <n v="2.2999999999999998"/>
    <n v="1.6"/>
    <n v="123.03"/>
    <n v="330.03"/>
    <s v="No"/>
    <s v="Used full R&amp;R rotor and pad labor instead of combo labor (0.5/0.3)."/>
    <n v="90"/>
    <n v="206.99999999999997"/>
    <n v="144"/>
    <n v="62.999999999999972"/>
    <x v="1"/>
  </r>
  <r>
    <x v="4"/>
    <n v="2343303"/>
    <x v="22"/>
    <x v="3"/>
    <x v="0"/>
    <x v="10"/>
    <s v="Production"/>
    <s v="2025-01-31"/>
    <n v="2.8"/>
    <n v="2.1"/>
    <n v="436.46"/>
    <n v="688.46"/>
    <s v="Yes"/>
    <s v="TPMS diag 3.0 with no faults found; tire pressure was low only."/>
    <n v="90"/>
    <n v="251.99999999999997"/>
    <n v="189"/>
    <n v="62.999999999999972"/>
    <x v="1"/>
  </r>
  <r>
    <x v="4"/>
    <n v="2343323"/>
    <x v="9"/>
    <x v="1"/>
    <x v="3"/>
    <x v="10"/>
    <s v="Retail"/>
    <s v="2025-01-31"/>
    <n v="2.8"/>
    <n v="2.1"/>
    <n v="196.86"/>
    <n v="448.86"/>
    <s v="No"/>
    <s v="Incorrect Labor Time on TPMS work; review labor guide and WIP usage."/>
    <n v="90"/>
    <n v="251.99999999999997"/>
    <n v="189"/>
    <n v="62.999999999999972"/>
    <x v="1"/>
  </r>
  <r>
    <x v="4"/>
    <n v="2343342"/>
    <x v="0"/>
    <x v="3"/>
    <x v="2"/>
    <x v="4"/>
    <s v="Production"/>
    <s v="2025-01-29"/>
    <n v="0.9"/>
    <n v="0.3"/>
    <n v="81.849999999999994"/>
    <n v="162.85"/>
    <s v="No"/>
    <s v="Unnecessary Repair on Alignment work; review labor guide and WIP usage."/>
    <n v="90"/>
    <n v="81"/>
    <n v="27"/>
    <n v="54"/>
    <x v="1"/>
  </r>
  <r>
    <x v="4"/>
    <n v="2343320"/>
    <x v="13"/>
    <x v="3"/>
    <x v="4"/>
    <x v="9"/>
    <s v="Retail"/>
    <s v="2025-01-30"/>
    <n v="3.3"/>
    <n v="2.9"/>
    <n v="61.37"/>
    <n v="358.37"/>
    <s v="No"/>
    <s v="Unnecessary Repair on Suspension work; review labor guide and WIP usage."/>
    <n v="90"/>
    <n v="297"/>
    <n v="261"/>
    <n v="36"/>
    <x v="1"/>
  </r>
  <r>
    <x v="4"/>
    <n v="2343331"/>
    <x v="4"/>
    <x v="3"/>
    <x v="0"/>
    <x v="5"/>
    <s v="Production"/>
    <s v="2025-02-02"/>
    <n v="4.3"/>
    <n v="4"/>
    <n v="416.96"/>
    <n v="803.96"/>
    <s v="Yes"/>
    <s v="Unnecessary Repair on AC / HVAC work; review labor guide and WIP usage."/>
    <n v="90"/>
    <n v="387"/>
    <n v="360"/>
    <n v="27"/>
    <x v="1"/>
  </r>
  <r>
    <x v="4"/>
    <n v="2343314"/>
    <x v="20"/>
    <x v="0"/>
    <x v="1"/>
    <x v="0"/>
    <s v="Production"/>
    <s v="2025-02-01"/>
    <n v="1.8"/>
    <n v="1.6"/>
    <n v="302.20999999999998"/>
    <n v="464.21"/>
    <s v="No"/>
    <s v="Machine rotor and resurface pads written as separate lines instead of combo operation."/>
    <n v="90"/>
    <n v="162"/>
    <n v="144"/>
    <n v="18"/>
    <x v="1"/>
  </r>
  <r>
    <x v="4"/>
    <n v="2343319"/>
    <x v="19"/>
    <x v="0"/>
    <x v="0"/>
    <x v="10"/>
    <s v="Retail"/>
    <s v="2025-02-02"/>
    <n v="2"/>
    <n v="1.8"/>
    <n v="12.95"/>
    <n v="192.95"/>
    <s v="No"/>
    <s v="Overlapping Labor on TPMS work; review labor guide and WIP usage."/>
    <n v="90"/>
    <n v="180"/>
    <n v="162"/>
    <n v="18"/>
    <x v="1"/>
  </r>
  <r>
    <x v="4"/>
    <n v="2343301"/>
    <x v="14"/>
    <x v="1"/>
    <x v="1"/>
    <x v="9"/>
    <s v="Production"/>
    <s v="2025-02-04"/>
    <n v="0.4"/>
    <n v="0.3"/>
    <n v="364.75"/>
    <n v="400.75"/>
    <s v="No"/>
    <s v="Incorrect Labor Time on Suspension work; review labor guide and WIP usage."/>
    <n v="90"/>
    <n v="36"/>
    <n v="27"/>
    <n v="9"/>
    <x v="1"/>
  </r>
  <r>
    <x v="4"/>
    <n v="2343339"/>
    <x v="6"/>
    <x v="1"/>
    <x v="4"/>
    <x v="6"/>
    <s v="Production"/>
    <s v="2025-02-02"/>
    <n v="1.3"/>
    <n v="1.2"/>
    <n v="58"/>
    <n v="175"/>
    <s v="No"/>
    <s v="Retail diagnostic labor (0.7/0.3) used instead of production WIP line."/>
    <n v="90"/>
    <n v="117"/>
    <n v="108"/>
    <n v="9"/>
    <x v="1"/>
  </r>
  <r>
    <x v="4"/>
    <n v="2343283"/>
    <x v="1"/>
    <x v="0"/>
    <x v="0"/>
    <x v="10"/>
    <s v="Production"/>
    <s v="2025-01-29"/>
    <n v="4.0999999999999996"/>
    <n v="4"/>
    <n v="126.43"/>
    <n v="495.43"/>
    <s v="No"/>
    <s v="Overlapping Labor on TPMS work; review labor guide and WIP usage."/>
    <n v="90"/>
    <n v="368.99999999999994"/>
    <n v="360"/>
    <n v="8.9999999999999432"/>
    <x v="1"/>
  </r>
  <r>
    <x v="5"/>
    <n v="2343368"/>
    <x v="3"/>
    <x v="0"/>
    <x v="0"/>
    <x v="10"/>
    <s v="Production"/>
    <s v="2025-02-06"/>
    <n v="3.3"/>
    <n v="1.7"/>
    <n v="230.25"/>
    <n v="527.25"/>
    <s v="No"/>
    <s v="Overlapping Labor on TPMS work; review labor guide and WIP usage."/>
    <n v="90"/>
    <n v="297"/>
    <n v="153"/>
    <n v="144"/>
    <x v="0"/>
  </r>
  <r>
    <x v="5"/>
    <n v="2343385"/>
    <x v="10"/>
    <x v="1"/>
    <x v="4"/>
    <x v="2"/>
    <s v="Retail"/>
    <s v="2025-02-06"/>
    <n v="1.8"/>
    <n v="0.3"/>
    <n v="272.60000000000002"/>
    <n v="434.6"/>
    <s v="No"/>
    <s v="Full R&amp;R door panel labor used instead of R&amp;I for switch access (1.1/0.8)."/>
    <n v="90"/>
    <n v="162"/>
    <n v="27"/>
    <n v="135"/>
    <x v="0"/>
  </r>
  <r>
    <x v="5"/>
    <n v="2343418"/>
    <x v="1"/>
    <x v="0"/>
    <x v="4"/>
    <x v="9"/>
    <s v="Retail"/>
    <s v="2025-02-10"/>
    <n v="4.2"/>
    <n v="2.7"/>
    <n v="434.26"/>
    <n v="812.26"/>
    <s v="Yes"/>
    <s v="Overlapping Labor on Suspension work; review labor guide and WIP usage."/>
    <n v="90"/>
    <n v="378"/>
    <n v="243.00000000000003"/>
    <n v="134.99999999999997"/>
    <x v="0"/>
  </r>
  <r>
    <x v="5"/>
    <n v="2343345"/>
    <x v="21"/>
    <x v="3"/>
    <x v="1"/>
    <x v="2"/>
    <s v="Production"/>
    <s v="2025-02-07"/>
    <n v="2.2999999999999998"/>
    <n v="1.1000000000000001"/>
    <n v="77.540000000000006"/>
    <n v="284.54000000000002"/>
    <s v="No"/>
    <s v="Unnecessary Repair on Electrical work; review labor guide and WIP usage."/>
    <n v="90"/>
    <n v="206.99999999999997"/>
    <n v="99.000000000000014"/>
    <n v="107.99999999999996"/>
    <x v="0"/>
  </r>
  <r>
    <x v="5"/>
    <n v="2343414"/>
    <x v="8"/>
    <x v="1"/>
    <x v="1"/>
    <x v="0"/>
    <s v="Retail"/>
    <s v="2025-02-09"/>
    <n v="3.5"/>
    <n v="2.4"/>
    <n v="212.21"/>
    <n v="527.21"/>
    <s v="No"/>
    <s v="Used full R&amp;R rotor and pad labor instead of combo labor (1.6/0.9)."/>
    <n v="90"/>
    <n v="315"/>
    <n v="216"/>
    <n v="99"/>
    <x v="0"/>
  </r>
  <r>
    <x v="5"/>
    <n v="2343376"/>
    <x v="2"/>
    <x v="3"/>
    <x v="4"/>
    <x v="11"/>
    <s v="Retail"/>
    <s v="2025-02-05"/>
    <n v="4"/>
    <n v="2.9"/>
    <n v="305.60000000000002"/>
    <n v="665.6"/>
    <s v="Yes"/>
    <s v="Unnecessary Repair on Interior work; review labor guide and WIP usage."/>
    <n v="90"/>
    <n v="360"/>
    <n v="261"/>
    <n v="99"/>
    <x v="0"/>
  </r>
  <r>
    <x v="5"/>
    <n v="2343369"/>
    <x v="7"/>
    <x v="2"/>
    <x v="1"/>
    <x v="0"/>
    <s v="Production"/>
    <s v="2025-02-07"/>
    <n v="2.2000000000000002"/>
    <n v="1.2"/>
    <n v="109.11"/>
    <n v="307.11"/>
    <s v="Yes"/>
    <s v="High Cost Repair on Brakes work; review labor guide and WIP usage."/>
    <n v="90"/>
    <n v="198.00000000000003"/>
    <n v="108"/>
    <n v="90.000000000000028"/>
    <x v="0"/>
  </r>
  <r>
    <x v="5"/>
    <n v="2343402"/>
    <x v="18"/>
    <x v="1"/>
    <x v="1"/>
    <x v="7"/>
    <s v="Production"/>
    <s v="2025-02-11"/>
    <n v="2.6"/>
    <n v="1.6"/>
    <n v="125.99"/>
    <n v="359.99"/>
    <s v="No"/>
    <s v="Incorrect Labor Time on Steering work; review labor guide and WIP usage."/>
    <n v="90"/>
    <n v="234"/>
    <n v="144"/>
    <n v="90"/>
    <x v="0"/>
  </r>
  <r>
    <x v="5"/>
    <n v="2343363"/>
    <x v="5"/>
    <x v="3"/>
    <x v="0"/>
    <x v="6"/>
    <s v="Production"/>
    <s v="2025-02-05"/>
    <n v="1.8"/>
    <n v="1"/>
    <n v="336.36"/>
    <n v="498.36"/>
    <s v="No"/>
    <s v="Added separate labor to remove under shield in addition to oil change line."/>
    <n v="90"/>
    <n v="162"/>
    <n v="90"/>
    <n v="72"/>
    <x v="1"/>
  </r>
  <r>
    <x v="5"/>
    <n v="2343407"/>
    <x v="2"/>
    <x v="2"/>
    <x v="1"/>
    <x v="6"/>
    <s v="Production"/>
    <s v="2025-02-09"/>
    <n v="1.7"/>
    <n v="0.9"/>
    <n v="228.42"/>
    <n v="381.42"/>
    <s v="Yes"/>
    <s v="High Cost Repair on Maintenance work; review labor guide and WIP usage."/>
    <n v="90"/>
    <n v="153"/>
    <n v="81"/>
    <n v="72"/>
    <x v="1"/>
  </r>
  <r>
    <x v="5"/>
    <n v="2343433"/>
    <x v="21"/>
    <x v="1"/>
    <x v="0"/>
    <x v="7"/>
    <s v="Retail"/>
    <s v="2025-02-11"/>
    <n v="4"/>
    <n v="3.3"/>
    <n v="367.47"/>
    <n v="727.47"/>
    <s v="Yes"/>
    <s v="Incorrect Labor Time on Steering work; review labor guide and WIP usage."/>
    <n v="90"/>
    <n v="360"/>
    <n v="297"/>
    <n v="63"/>
    <x v="1"/>
  </r>
  <r>
    <x v="5"/>
    <n v="2343391"/>
    <x v="2"/>
    <x v="2"/>
    <x v="1"/>
    <x v="7"/>
    <s v="Retail"/>
    <s v="2025-02-05"/>
    <n v="1"/>
    <n v="0.3"/>
    <n v="36.11"/>
    <n v="126.11"/>
    <s v="Yes"/>
    <s v="High Cost Repair on Steering work; review labor guide and WIP usage."/>
    <n v="90"/>
    <n v="90"/>
    <n v="27"/>
    <n v="63"/>
    <x v="1"/>
  </r>
  <r>
    <x v="5"/>
    <n v="2343429"/>
    <x v="7"/>
    <x v="0"/>
    <x v="0"/>
    <x v="2"/>
    <s v="Production"/>
    <s v="2025-02-06"/>
    <n v="1"/>
    <n v="0.3"/>
    <n v="299.33999999999997"/>
    <n v="389.34"/>
    <s v="No"/>
    <s v="Overlapping Labor on Electrical work; review labor guide and WIP usage."/>
    <n v="90"/>
    <n v="90"/>
    <n v="27"/>
    <n v="63"/>
    <x v="1"/>
  </r>
  <r>
    <x v="5"/>
    <n v="2343412"/>
    <x v="0"/>
    <x v="3"/>
    <x v="1"/>
    <x v="5"/>
    <s v="Retail"/>
    <s v="2025-02-06"/>
    <n v="4.5"/>
    <n v="3.9"/>
    <n v="364.44"/>
    <n v="769.44"/>
    <s v="Yes"/>
    <s v="Unnecessary Repair on AC / HVAC work; review labor guide and WIP usage."/>
    <n v="90"/>
    <n v="405"/>
    <n v="351"/>
    <n v="54"/>
    <x v="1"/>
  </r>
  <r>
    <x v="5"/>
    <n v="2343437"/>
    <x v="18"/>
    <x v="3"/>
    <x v="3"/>
    <x v="3"/>
    <s v="Production"/>
    <s v="2025-02-09"/>
    <n v="2.2000000000000002"/>
    <n v="1.7"/>
    <n v="336.42"/>
    <n v="534.41999999999996"/>
    <s v="No"/>
    <s v="Unnecessary Repair on Noise / Rattle work; review labor guide and WIP usage."/>
    <n v="90"/>
    <n v="198.00000000000003"/>
    <n v="153"/>
    <n v="45.000000000000028"/>
    <x v="1"/>
  </r>
  <r>
    <x v="5"/>
    <n v="2343347"/>
    <x v="21"/>
    <x v="1"/>
    <x v="1"/>
    <x v="8"/>
    <s v="Production"/>
    <s v="2025-02-08"/>
    <n v="1"/>
    <n v="0.5"/>
    <n v="79.650000000000006"/>
    <n v="169.65"/>
    <s v="No"/>
    <s v="Incorrect Labor Time on Diagnostics work; review labor guide and WIP usage."/>
    <n v="90"/>
    <n v="90"/>
    <n v="45"/>
    <n v="45"/>
    <x v="1"/>
  </r>
  <r>
    <x v="5"/>
    <n v="2343382"/>
    <x v="21"/>
    <x v="1"/>
    <x v="1"/>
    <x v="4"/>
    <s v="Production"/>
    <s v="2025-02-08"/>
    <n v="0.8"/>
    <n v="0.3"/>
    <n v="163.38999999999999"/>
    <n v="235.39"/>
    <s v="No"/>
    <s v="Incorrect Labor Time on Alignment work; review labor guide and WIP usage."/>
    <n v="90"/>
    <n v="72"/>
    <n v="27"/>
    <n v="45"/>
    <x v="1"/>
  </r>
  <r>
    <x v="5"/>
    <n v="2343398"/>
    <x v="7"/>
    <x v="3"/>
    <x v="0"/>
    <x v="6"/>
    <s v="Production"/>
    <s v="2025-02-05"/>
    <n v="3.7"/>
    <n v="3.2"/>
    <n v="76.900000000000006"/>
    <n v="409.9"/>
    <s v="No"/>
    <s v="Added separate labor to remove under shield in addition to oil change line."/>
    <n v="90"/>
    <n v="333"/>
    <n v="288"/>
    <n v="45"/>
    <x v="1"/>
  </r>
  <r>
    <x v="5"/>
    <n v="2343408"/>
    <x v="1"/>
    <x v="3"/>
    <x v="1"/>
    <x v="6"/>
    <s v="Production"/>
    <s v="2025-02-10"/>
    <n v="2.9"/>
    <n v="2.4"/>
    <n v="261.56"/>
    <n v="522.55999999999995"/>
    <s v="No"/>
    <s v="Added separate labor to remove under shield in addition to oil change line."/>
    <n v="90"/>
    <n v="261"/>
    <n v="216"/>
    <n v="45"/>
    <x v="1"/>
  </r>
  <r>
    <x v="5"/>
    <n v="2343350"/>
    <x v="10"/>
    <x v="0"/>
    <x v="3"/>
    <x v="5"/>
    <s v="Production"/>
    <s v="2025-02-07"/>
    <n v="2.2000000000000002"/>
    <n v="1.8"/>
    <n v="163.92"/>
    <n v="361.92"/>
    <s v="No"/>
    <s v="Overlapping Labor on AC / HVAC work; review labor guide and WIP usage."/>
    <n v="90"/>
    <n v="198.00000000000003"/>
    <n v="162"/>
    <n v="36.000000000000028"/>
    <x v="1"/>
  </r>
  <r>
    <x v="5"/>
    <n v="2343360"/>
    <x v="8"/>
    <x v="1"/>
    <x v="1"/>
    <x v="9"/>
    <s v="Production"/>
    <s v="2025-02-06"/>
    <n v="1.1000000000000001"/>
    <n v="0.7"/>
    <n v="166.71"/>
    <n v="265.70999999999998"/>
    <s v="No"/>
    <s v="Incorrect Labor Time on Suspension work; review labor guide and WIP usage."/>
    <n v="90"/>
    <n v="99.000000000000014"/>
    <n v="62.999999999999993"/>
    <n v="36.000000000000021"/>
    <x v="1"/>
  </r>
  <r>
    <x v="5"/>
    <n v="2343387"/>
    <x v="21"/>
    <x v="1"/>
    <x v="3"/>
    <x v="2"/>
    <s v="Retail"/>
    <s v="2025-02-08"/>
    <n v="0.9"/>
    <n v="0.5"/>
    <n v="72.31"/>
    <n v="153.31"/>
    <s v="No"/>
    <s v="Full R&amp;R door panel labor used instead of R&amp;I for switch access (0.9/0.3)."/>
    <n v="90"/>
    <n v="81"/>
    <n v="45"/>
    <n v="36"/>
    <x v="1"/>
  </r>
  <r>
    <x v="5"/>
    <n v="2343379"/>
    <x v="20"/>
    <x v="1"/>
    <x v="1"/>
    <x v="0"/>
    <s v="Retail"/>
    <s v="2025-02-10"/>
    <n v="0.7"/>
    <n v="0.3"/>
    <n v="264.08"/>
    <n v="327.08"/>
    <s v="No"/>
    <s v="Used full R&amp;R rotor and pad labor instead of combo labor (2.7/1.9)."/>
    <n v="90"/>
    <n v="62.999999999999993"/>
    <n v="27"/>
    <n v="35.999999999999993"/>
    <x v="1"/>
  </r>
  <r>
    <x v="5"/>
    <n v="2343426"/>
    <x v="13"/>
    <x v="3"/>
    <x v="3"/>
    <x v="8"/>
    <s v="Retail"/>
    <s v="2025-02-08"/>
    <n v="3.8"/>
    <n v="3.5"/>
    <n v="357.87"/>
    <n v="699.87"/>
    <s v="Yes"/>
    <s v="Unnecessary Repair on Diagnostics work; review labor guide and WIP usage."/>
    <n v="90"/>
    <n v="342"/>
    <n v="315"/>
    <n v="27"/>
    <x v="1"/>
  </r>
  <r>
    <x v="5"/>
    <n v="2343421"/>
    <x v="7"/>
    <x v="1"/>
    <x v="0"/>
    <x v="3"/>
    <s v="Production"/>
    <s v="2025-02-10"/>
    <n v="4.2"/>
    <n v="3.9"/>
    <n v="29.92"/>
    <n v="407.92"/>
    <s v="No"/>
    <s v="Incorrect Labor Time on Noise / Rattle work; review labor guide and WIP usage."/>
    <n v="90"/>
    <n v="378"/>
    <n v="351"/>
    <n v="27"/>
    <x v="1"/>
  </r>
  <r>
    <x v="5"/>
    <n v="2343393"/>
    <x v="8"/>
    <x v="2"/>
    <x v="0"/>
    <x v="10"/>
    <s v="Production"/>
    <s v="2025-02-05"/>
    <n v="4.4000000000000004"/>
    <n v="4.2"/>
    <n v="179.04"/>
    <n v="575.04"/>
    <s v="Yes"/>
    <s v="High Cost Repair on TPMS work; review labor guide and WIP usage."/>
    <n v="90"/>
    <n v="396.00000000000006"/>
    <n v="378"/>
    <n v="18.000000000000057"/>
    <x v="1"/>
  </r>
  <r>
    <x v="5"/>
    <n v="2343354"/>
    <x v="5"/>
    <x v="3"/>
    <x v="0"/>
    <x v="0"/>
    <s v="Retail"/>
    <s v="2025-02-11"/>
    <n v="0.5"/>
    <n v="0.3"/>
    <n v="282.56"/>
    <n v="327.56"/>
    <s v="No"/>
    <s v="Brake noise diag performed with no worn components; pads and rotors within spec."/>
    <n v="90"/>
    <n v="45"/>
    <n v="27"/>
    <n v="18"/>
    <x v="1"/>
  </r>
  <r>
    <x v="5"/>
    <n v="2343358"/>
    <x v="8"/>
    <x v="0"/>
    <x v="0"/>
    <x v="6"/>
    <s v="Production"/>
    <s v="2025-02-05"/>
    <n v="4.2"/>
    <n v="4.0999999999999996"/>
    <n v="124.59"/>
    <n v="502.59"/>
    <s v="No"/>
    <s v="Overlapping Labor on Maintenance work; review labor guide and WIP usage."/>
    <n v="90"/>
    <n v="378"/>
    <n v="368.99999999999994"/>
    <n v="9.0000000000000568"/>
    <x v="1"/>
  </r>
  <r>
    <x v="5"/>
    <n v="2343409"/>
    <x v="20"/>
    <x v="2"/>
    <x v="1"/>
    <x v="7"/>
    <s v="Retail"/>
    <s v="2025-02-06"/>
    <n v="2.5"/>
    <n v="2.4"/>
    <n v="151.47"/>
    <n v="376.47"/>
    <s v="Yes"/>
    <s v="High Cost Repair on Steering work; review labor guide and WIP usage."/>
    <n v="90"/>
    <n v="225"/>
    <n v="216"/>
    <n v="9"/>
    <x v="1"/>
  </r>
  <r>
    <x v="5"/>
    <n v="2343374"/>
    <x v="9"/>
    <x v="1"/>
    <x v="1"/>
    <x v="8"/>
    <s v="Retail"/>
    <s v="2025-02-09"/>
    <n v="0.4"/>
    <n v="0.3"/>
    <n v="95.15"/>
    <n v="131.15"/>
    <s v="No"/>
    <s v="Incorrect Labor Time on Diagnostics work; review labor guide and WIP usage."/>
    <n v="90"/>
    <n v="36"/>
    <n v="27"/>
    <n v="9"/>
    <x v="1"/>
  </r>
  <r>
    <x v="6"/>
    <n v="2343469"/>
    <x v="9"/>
    <x v="1"/>
    <x v="0"/>
    <x v="0"/>
    <s v="Production"/>
    <s v="2025-02-14"/>
    <n v="4"/>
    <n v="2.2999999999999998"/>
    <n v="254.31"/>
    <n v="614.30999999999995"/>
    <s v="No"/>
    <s v="Used full R&amp;R rotor and pad labor instead of combo labor (2.5/1.1)."/>
    <n v="90"/>
    <n v="360"/>
    <n v="206.99999999999997"/>
    <n v="153.00000000000003"/>
    <x v="0"/>
  </r>
  <r>
    <x v="6"/>
    <n v="2343478"/>
    <x v="20"/>
    <x v="1"/>
    <x v="1"/>
    <x v="6"/>
    <s v="Production"/>
    <s v="2025-02-18"/>
    <n v="3.4"/>
    <n v="1.7"/>
    <n v="416.51"/>
    <n v="722.51"/>
    <s v="Yes"/>
    <s v="Retail diagnostic labor (1.7/1.4) used instead of production WIP line."/>
    <n v="90"/>
    <n v="306"/>
    <n v="153"/>
    <n v="153"/>
    <x v="0"/>
  </r>
  <r>
    <x v="6"/>
    <n v="2343494"/>
    <x v="3"/>
    <x v="1"/>
    <x v="0"/>
    <x v="6"/>
    <s v="Retail"/>
    <s v="2025-02-18"/>
    <n v="2.1"/>
    <n v="0.5"/>
    <n v="163.08000000000001"/>
    <n v="352.08"/>
    <s v="No"/>
    <s v="Retail diagnostic labor (2.2/1.2) used instead of production WIP line."/>
    <n v="90"/>
    <n v="189"/>
    <n v="45"/>
    <n v="144"/>
    <x v="0"/>
  </r>
  <r>
    <x v="6"/>
    <n v="2343482"/>
    <x v="1"/>
    <x v="1"/>
    <x v="2"/>
    <x v="10"/>
    <s v="Retail"/>
    <s v="2025-02-15"/>
    <n v="4.4000000000000004"/>
    <n v="2.9"/>
    <n v="56.1"/>
    <n v="452.1"/>
    <s v="No"/>
    <s v="Incorrect Labor Time on TPMS work; review labor guide and WIP usage."/>
    <n v="90"/>
    <n v="396.00000000000006"/>
    <n v="261"/>
    <n v="135.00000000000006"/>
    <x v="0"/>
  </r>
  <r>
    <x v="6"/>
    <n v="2343454"/>
    <x v="12"/>
    <x v="1"/>
    <x v="3"/>
    <x v="4"/>
    <s v="Retail"/>
    <s v="2025-02-18"/>
    <n v="2.7"/>
    <n v="1.3"/>
    <n v="394.54"/>
    <n v="637.54"/>
    <s v="No"/>
    <s v="Incorrect Labor Time on Alignment work; review labor guide and WIP usage."/>
    <n v="90"/>
    <n v="243.00000000000003"/>
    <n v="117"/>
    <n v="126.00000000000003"/>
    <x v="0"/>
  </r>
  <r>
    <x v="6"/>
    <n v="2343486"/>
    <x v="3"/>
    <x v="2"/>
    <x v="0"/>
    <x v="7"/>
    <s v="Production"/>
    <s v="2025-02-17"/>
    <n v="2.5"/>
    <n v="1.4"/>
    <n v="179.55"/>
    <n v="404.55"/>
    <s v="Yes"/>
    <s v="High Cost Repair on Steering work; review labor guide and WIP usage."/>
    <n v="90"/>
    <n v="225"/>
    <n v="125.99999999999999"/>
    <n v="99.000000000000014"/>
    <x v="0"/>
  </r>
  <r>
    <x v="6"/>
    <n v="2343447"/>
    <x v="11"/>
    <x v="0"/>
    <x v="0"/>
    <x v="2"/>
    <s v="Production"/>
    <s v="2025-02-17"/>
    <n v="3.6"/>
    <n v="2.5"/>
    <n v="240.06"/>
    <n v="564.05999999999995"/>
    <s v="No"/>
    <s v="Overlapping Labor on Electrical work; review labor guide and WIP usage."/>
    <n v="90"/>
    <n v="324"/>
    <n v="225"/>
    <n v="99"/>
    <x v="0"/>
  </r>
  <r>
    <x v="6"/>
    <n v="2343464"/>
    <x v="21"/>
    <x v="1"/>
    <x v="1"/>
    <x v="2"/>
    <s v="Production"/>
    <s v="2025-02-15"/>
    <n v="4.0999999999999996"/>
    <n v="3"/>
    <n v="180.38"/>
    <n v="549.38"/>
    <s v="No"/>
    <s v="Full R&amp;R door panel labor used instead of R&amp;I for switch access (1.8/0.4)."/>
    <n v="90"/>
    <n v="368.99999999999994"/>
    <n v="270"/>
    <n v="98.999999999999943"/>
    <x v="0"/>
  </r>
  <r>
    <x v="6"/>
    <n v="2343523"/>
    <x v="11"/>
    <x v="0"/>
    <x v="1"/>
    <x v="11"/>
    <s v="Retail"/>
    <s v="2025-02-15"/>
    <n v="1.3"/>
    <n v="0.3"/>
    <n v="8.8699999999999992"/>
    <n v="125.87"/>
    <s v="No"/>
    <s v="Overlapping Labor on Interior work; review labor guide and WIP usage."/>
    <n v="90"/>
    <n v="117"/>
    <n v="27"/>
    <n v="90"/>
    <x v="0"/>
  </r>
  <r>
    <x v="6"/>
    <n v="2343461"/>
    <x v="2"/>
    <x v="3"/>
    <x v="4"/>
    <x v="2"/>
    <s v="Production"/>
    <s v="2025-02-17"/>
    <n v="3.2"/>
    <n v="2.2000000000000002"/>
    <n v="113.31"/>
    <n v="401.31"/>
    <s v="No"/>
    <s v="Unnecessary Repair on Electrical work; review labor guide and WIP usage."/>
    <n v="90"/>
    <n v="288"/>
    <n v="198.00000000000003"/>
    <n v="89.999999999999972"/>
    <x v="0"/>
  </r>
  <r>
    <x v="6"/>
    <n v="2343509"/>
    <x v="22"/>
    <x v="1"/>
    <x v="2"/>
    <x v="10"/>
    <s v="Production"/>
    <s v="2025-02-15"/>
    <n v="3.6"/>
    <n v="2.8"/>
    <n v="235.98"/>
    <n v="559.98"/>
    <s v="No"/>
    <s v="Incorrect Labor Time on TPMS work; review labor guide and WIP usage."/>
    <n v="90"/>
    <n v="324"/>
    <n v="251.99999999999997"/>
    <n v="72.000000000000028"/>
    <x v="1"/>
  </r>
  <r>
    <x v="6"/>
    <n v="2343492"/>
    <x v="4"/>
    <x v="0"/>
    <x v="0"/>
    <x v="4"/>
    <s v="Production"/>
    <s v="2025-02-16"/>
    <n v="1.2"/>
    <n v="0.4"/>
    <n v="63.39"/>
    <n v="171.39"/>
    <s v="No"/>
    <s v="Added separate alignment line on top of steering component labor that already includes alignment."/>
    <n v="90"/>
    <n v="108"/>
    <n v="36"/>
    <n v="72"/>
    <x v="1"/>
  </r>
  <r>
    <x v="6"/>
    <n v="2343522"/>
    <x v="1"/>
    <x v="1"/>
    <x v="4"/>
    <x v="9"/>
    <s v="Retail"/>
    <s v="2025-02-17"/>
    <n v="1"/>
    <n v="0.3"/>
    <n v="296.52"/>
    <n v="386.52"/>
    <s v="No"/>
    <s v="Incorrect Labor Time on Suspension work; review labor guide and WIP usage."/>
    <n v="90"/>
    <n v="90"/>
    <n v="27"/>
    <n v="63"/>
    <x v="1"/>
  </r>
  <r>
    <x v="6"/>
    <n v="2343525"/>
    <x v="20"/>
    <x v="1"/>
    <x v="4"/>
    <x v="2"/>
    <s v="Retail"/>
    <s v="2025-02-15"/>
    <n v="1"/>
    <n v="0.3"/>
    <n v="107.18"/>
    <n v="197.18"/>
    <s v="No"/>
    <s v="Full R&amp;R door panel labor used instead of R&amp;I for switch access (0.6/0.3)."/>
    <n v="90"/>
    <n v="90"/>
    <n v="27"/>
    <n v="63"/>
    <x v="1"/>
  </r>
  <r>
    <x v="6"/>
    <n v="2343441"/>
    <x v="22"/>
    <x v="0"/>
    <x v="0"/>
    <x v="3"/>
    <s v="Retail"/>
    <s v="2025-02-13"/>
    <n v="4.0999999999999996"/>
    <n v="3.4"/>
    <n v="244.6"/>
    <n v="613.6"/>
    <s v="No"/>
    <s v="Overlapping Labor on Noise / Rattle work; review labor guide and WIP usage."/>
    <n v="90"/>
    <n v="368.99999999999994"/>
    <n v="306"/>
    <n v="62.999999999999943"/>
    <x v="1"/>
  </r>
  <r>
    <x v="6"/>
    <n v="2343449"/>
    <x v="16"/>
    <x v="2"/>
    <x v="0"/>
    <x v="2"/>
    <s v="Retail"/>
    <s v="2025-02-18"/>
    <n v="0.9"/>
    <n v="0.3"/>
    <n v="111.82"/>
    <n v="192.82"/>
    <s v="Yes"/>
    <s v="High Cost Repair on Electrical work; review labor guide and WIP usage."/>
    <n v="90"/>
    <n v="81"/>
    <n v="27"/>
    <n v="54"/>
    <x v="1"/>
  </r>
  <r>
    <x v="6"/>
    <n v="2343465"/>
    <x v="1"/>
    <x v="2"/>
    <x v="4"/>
    <x v="6"/>
    <s v="Retail"/>
    <s v="2025-02-12"/>
    <n v="0.9"/>
    <n v="0.3"/>
    <n v="227.65"/>
    <n v="308.64999999999998"/>
    <s v="Yes"/>
    <s v="High Cost Repair on Maintenance work; review labor guide and WIP usage."/>
    <n v="90"/>
    <n v="81"/>
    <n v="27"/>
    <n v="54"/>
    <x v="1"/>
  </r>
  <r>
    <x v="6"/>
    <n v="2343490"/>
    <x v="6"/>
    <x v="3"/>
    <x v="1"/>
    <x v="8"/>
    <s v="Retail"/>
    <s v="2025-02-14"/>
    <n v="4.2"/>
    <n v="3.6"/>
    <n v="156.13"/>
    <n v="534.13"/>
    <s v="No"/>
    <s v="Unnecessary Repair on Diagnostics work; review labor guide and WIP usage."/>
    <n v="90"/>
    <n v="378"/>
    <n v="324"/>
    <n v="54"/>
    <x v="1"/>
  </r>
  <r>
    <x v="6"/>
    <n v="2343518"/>
    <x v="4"/>
    <x v="3"/>
    <x v="0"/>
    <x v="9"/>
    <s v="Production"/>
    <s v="2025-02-14"/>
    <n v="1.9"/>
    <n v="1.4"/>
    <n v="289.8"/>
    <n v="460.8"/>
    <s v="No"/>
    <s v="Unnecessary Repair on Suspension work; review labor guide and WIP usage."/>
    <n v="90"/>
    <n v="171"/>
    <n v="125.99999999999999"/>
    <n v="45.000000000000014"/>
    <x v="1"/>
  </r>
  <r>
    <x v="6"/>
    <n v="2343446"/>
    <x v="18"/>
    <x v="0"/>
    <x v="1"/>
    <x v="7"/>
    <s v="Production"/>
    <s v="2025-02-17"/>
    <n v="0.8"/>
    <n v="0.3"/>
    <n v="282.47000000000003"/>
    <n v="354.47"/>
    <s v="No"/>
    <s v="Overlapping Labor on Steering work; review labor guide and WIP usage."/>
    <n v="90"/>
    <n v="72"/>
    <n v="27"/>
    <n v="45"/>
    <x v="1"/>
  </r>
  <r>
    <x v="6"/>
    <n v="2343458"/>
    <x v="22"/>
    <x v="0"/>
    <x v="0"/>
    <x v="10"/>
    <s v="Production"/>
    <s v="2025-02-13"/>
    <n v="0.8"/>
    <n v="0.3"/>
    <n v="57.37"/>
    <n v="129.37"/>
    <s v="No"/>
    <s v="Overlapping Labor on TPMS work; review labor guide and WIP usage."/>
    <n v="90"/>
    <n v="72"/>
    <n v="27"/>
    <n v="45"/>
    <x v="1"/>
  </r>
  <r>
    <x v="6"/>
    <n v="2343460"/>
    <x v="6"/>
    <x v="0"/>
    <x v="2"/>
    <x v="8"/>
    <s v="Production"/>
    <s v="2025-02-14"/>
    <n v="0.9"/>
    <n v="0.5"/>
    <n v="325.01"/>
    <n v="406.01"/>
    <s v="No"/>
    <s v="Multiple diag lines (ABS, lane departure, CEL) for same root cause issue."/>
    <n v="90"/>
    <n v="81"/>
    <n v="45"/>
    <n v="36"/>
    <x v="1"/>
  </r>
  <r>
    <x v="6"/>
    <n v="2343513"/>
    <x v="6"/>
    <x v="3"/>
    <x v="1"/>
    <x v="2"/>
    <s v="Production"/>
    <s v="2025-02-14"/>
    <n v="2.7"/>
    <n v="2.4"/>
    <n v="81.87"/>
    <n v="324.87"/>
    <s v="No"/>
    <s v="Unnecessary Repair on Electrical work; review labor guide and WIP usage."/>
    <n v="90"/>
    <n v="243.00000000000003"/>
    <n v="216"/>
    <n v="27.000000000000028"/>
    <x v="1"/>
  </r>
  <r>
    <x v="6"/>
    <n v="2343473"/>
    <x v="15"/>
    <x v="3"/>
    <x v="3"/>
    <x v="0"/>
    <s v="Production"/>
    <s v="2025-02-17"/>
    <n v="3.3"/>
    <n v="3"/>
    <n v="259.33"/>
    <n v="556.33000000000004"/>
    <s v="No"/>
    <s v="Brake noise diag performed with no worn components; pads and rotors within spec."/>
    <n v="90"/>
    <n v="297"/>
    <n v="270"/>
    <n v="27"/>
    <x v="1"/>
  </r>
  <r>
    <x v="6"/>
    <n v="2343499"/>
    <x v="14"/>
    <x v="1"/>
    <x v="0"/>
    <x v="10"/>
    <s v="Production"/>
    <s v="2025-02-14"/>
    <n v="0.6"/>
    <n v="0.3"/>
    <n v="94.46"/>
    <n v="148.46"/>
    <s v="No"/>
    <s v="Incorrect Labor Time on TPMS work; review labor guide and WIP usage."/>
    <n v="90"/>
    <n v="54"/>
    <n v="27"/>
    <n v="27"/>
    <x v="1"/>
  </r>
  <r>
    <x v="6"/>
    <n v="2343497"/>
    <x v="12"/>
    <x v="0"/>
    <x v="0"/>
    <x v="5"/>
    <s v="Retail"/>
    <s v="2025-02-12"/>
    <n v="2"/>
    <n v="1.8"/>
    <n v="448.59"/>
    <n v="628.59"/>
    <s v="No"/>
    <s v="Overlapping Labor on AC / HVAC work; review labor guide and WIP usage."/>
    <n v="90"/>
    <n v="180"/>
    <n v="162"/>
    <n v="18"/>
    <x v="1"/>
  </r>
  <r>
    <x v="6"/>
    <n v="2343504"/>
    <x v="21"/>
    <x v="3"/>
    <x v="4"/>
    <x v="8"/>
    <s v="Retail"/>
    <s v="2025-02-18"/>
    <n v="1.1000000000000001"/>
    <n v="1"/>
    <n v="212.43"/>
    <n v="311.43"/>
    <s v="No"/>
    <s v="Unnecessary Repair on Diagnostics work; review labor guide and WIP usage."/>
    <n v="90"/>
    <n v="99.000000000000014"/>
    <n v="90"/>
    <n v="9.0000000000000142"/>
    <x v="1"/>
  </r>
  <r>
    <x v="6"/>
    <n v="2343496"/>
    <x v="4"/>
    <x v="1"/>
    <x v="1"/>
    <x v="10"/>
    <s v="Production"/>
    <s v="2025-02-13"/>
    <n v="0.4"/>
    <n v="0.3"/>
    <n v="80.12"/>
    <n v="116.12"/>
    <s v="No"/>
    <s v="Incorrect Labor Time on TPMS work; review labor guide and WIP usage."/>
    <n v="90"/>
    <n v="36"/>
    <n v="27"/>
    <n v="9"/>
    <x v="1"/>
  </r>
  <r>
    <x v="6"/>
    <n v="2343489"/>
    <x v="17"/>
    <x v="1"/>
    <x v="0"/>
    <x v="0"/>
    <s v="Production"/>
    <s v="2025-02-15"/>
    <n v="3.7"/>
    <n v="3.7"/>
    <n v="150.07"/>
    <n v="483.07"/>
    <s v="No"/>
    <s v="Used full R&amp;R rotor and pad labor instead of combo labor (1.6/0.7)."/>
    <n v="90"/>
    <n v="333"/>
    <n v="333"/>
    <n v="0"/>
    <x v="2"/>
  </r>
  <r>
    <x v="7"/>
    <n v="2343574"/>
    <x v="14"/>
    <x v="3"/>
    <x v="0"/>
    <x v="6"/>
    <s v="Production"/>
    <s v="2025-02-23"/>
    <n v="3.1"/>
    <n v="1.4"/>
    <n v="329.66"/>
    <n v="608.66"/>
    <s v="No"/>
    <s v="Added separate labor to remove under shield in addition to oil change line."/>
    <n v="90"/>
    <n v="279"/>
    <n v="125.99999999999999"/>
    <n v="153"/>
    <x v="0"/>
  </r>
  <r>
    <x v="7"/>
    <n v="2343528"/>
    <x v="12"/>
    <x v="2"/>
    <x v="1"/>
    <x v="2"/>
    <s v="Retail"/>
    <s v="2025-02-19"/>
    <n v="3.3"/>
    <n v="1.8"/>
    <n v="373.6"/>
    <n v="670.6"/>
    <s v="Yes"/>
    <s v="High Cost Repair on Electrical work; review labor guide and WIP usage."/>
    <n v="90"/>
    <n v="297"/>
    <n v="162"/>
    <n v="135"/>
    <x v="0"/>
  </r>
  <r>
    <x v="7"/>
    <n v="2343538"/>
    <x v="14"/>
    <x v="3"/>
    <x v="0"/>
    <x v="5"/>
    <s v="Retail"/>
    <s v="2025-02-23"/>
    <n v="4"/>
    <n v="2.5"/>
    <n v="153.82"/>
    <n v="513.82000000000005"/>
    <s v="No"/>
    <s v="Unnecessary Repair on AC / HVAC work; review labor guide and WIP usage."/>
    <n v="90"/>
    <n v="360"/>
    <n v="225"/>
    <n v="135"/>
    <x v="0"/>
  </r>
  <r>
    <x v="7"/>
    <n v="2343580"/>
    <x v="1"/>
    <x v="1"/>
    <x v="1"/>
    <x v="5"/>
    <s v="Production"/>
    <s v="2025-02-19"/>
    <n v="1.7"/>
    <n v="0.3"/>
    <n v="47.97"/>
    <n v="200.97"/>
    <s v="No"/>
    <s v="Incorrect Labor Time on AC / HVAC work; review labor guide and WIP usage."/>
    <n v="90"/>
    <n v="153"/>
    <n v="27"/>
    <n v="126"/>
    <x v="0"/>
  </r>
  <r>
    <x v="7"/>
    <n v="2343570"/>
    <x v="5"/>
    <x v="0"/>
    <x v="4"/>
    <x v="4"/>
    <s v="Production"/>
    <s v="2025-02-19"/>
    <n v="1.8"/>
    <n v="0.5"/>
    <n v="133.69999999999999"/>
    <n v="295.7"/>
    <s v="No"/>
    <s v="Added separate alignment line on top of steering component labor that already includes alignment."/>
    <n v="90"/>
    <n v="162"/>
    <n v="45"/>
    <n v="117"/>
    <x v="0"/>
  </r>
  <r>
    <x v="7"/>
    <n v="2343584"/>
    <x v="10"/>
    <x v="0"/>
    <x v="0"/>
    <x v="9"/>
    <s v="Production"/>
    <s v="2025-02-20"/>
    <n v="3.7"/>
    <n v="2.4"/>
    <n v="122.47"/>
    <n v="455.47"/>
    <s v="No"/>
    <s v="Overlapping Labor on Suspension work; review labor guide and WIP usage."/>
    <n v="90"/>
    <n v="333"/>
    <n v="216"/>
    <n v="117"/>
    <x v="0"/>
  </r>
  <r>
    <x v="7"/>
    <n v="2343582"/>
    <x v="20"/>
    <x v="1"/>
    <x v="4"/>
    <x v="2"/>
    <s v="Retail"/>
    <s v="2025-02-21"/>
    <n v="2.4"/>
    <n v="1.2"/>
    <n v="195.67"/>
    <n v="411.67"/>
    <s v="No"/>
    <s v="Full R&amp;R door panel labor used instead of R&amp;I for switch access (1.1/0.3)."/>
    <n v="90"/>
    <n v="216"/>
    <n v="108"/>
    <n v="108"/>
    <x v="0"/>
  </r>
  <r>
    <x v="7"/>
    <n v="2343561"/>
    <x v="15"/>
    <x v="1"/>
    <x v="0"/>
    <x v="7"/>
    <s v="Production"/>
    <s v="2025-02-23"/>
    <n v="2.8"/>
    <n v="1.6"/>
    <n v="78.92"/>
    <n v="330.92"/>
    <s v="No"/>
    <s v="Incorrect Labor Time on Steering work; review labor guide and WIP usage."/>
    <n v="90"/>
    <n v="251.99999999999997"/>
    <n v="144"/>
    <n v="107.99999999999997"/>
    <x v="0"/>
  </r>
  <r>
    <x v="7"/>
    <n v="2343578"/>
    <x v="21"/>
    <x v="1"/>
    <x v="1"/>
    <x v="5"/>
    <s v="Production"/>
    <s v="2025-02-21"/>
    <n v="1.4"/>
    <n v="0.3"/>
    <n v="23.14"/>
    <n v="149.13999999999999"/>
    <s v="No"/>
    <s v="Incorrect Labor Time on AC / HVAC work; review labor guide and WIP usage."/>
    <n v="90"/>
    <n v="125.99999999999999"/>
    <n v="27"/>
    <n v="98.999999999999986"/>
    <x v="0"/>
  </r>
  <r>
    <x v="7"/>
    <n v="2343555"/>
    <x v="21"/>
    <x v="1"/>
    <x v="3"/>
    <x v="0"/>
    <s v="Production"/>
    <s v="2025-02-19"/>
    <n v="1.5"/>
    <n v="0.5"/>
    <n v="293.14"/>
    <n v="428.14"/>
    <s v="No"/>
    <s v="Used full R&amp;R rotor and pad labor instead of combo labor (3.0/2.5)."/>
    <n v="90"/>
    <n v="135"/>
    <n v="45"/>
    <n v="90"/>
    <x v="0"/>
  </r>
  <r>
    <x v="7"/>
    <n v="2343546"/>
    <x v="1"/>
    <x v="0"/>
    <x v="4"/>
    <x v="9"/>
    <s v="Production"/>
    <s v="2025-02-24"/>
    <n v="3.9"/>
    <n v="3"/>
    <n v="402.55"/>
    <n v="753.55"/>
    <s v="Yes"/>
    <s v="Overlapping Labor on Suspension work; review labor guide and WIP usage."/>
    <n v="90"/>
    <n v="351"/>
    <n v="270"/>
    <n v="81"/>
    <x v="0"/>
  </r>
  <r>
    <x v="7"/>
    <n v="2343564"/>
    <x v="17"/>
    <x v="3"/>
    <x v="2"/>
    <x v="10"/>
    <s v="Retail"/>
    <s v="2025-02-20"/>
    <n v="1.9"/>
    <n v="1"/>
    <n v="21.13"/>
    <n v="192.13"/>
    <s v="No"/>
    <s v="TPMS diag 0.8 with no faults found; tire pressure was low only."/>
    <n v="90"/>
    <n v="171"/>
    <n v="90"/>
    <n v="81"/>
    <x v="0"/>
  </r>
  <r>
    <x v="7"/>
    <n v="2343590"/>
    <x v="19"/>
    <x v="3"/>
    <x v="0"/>
    <x v="11"/>
    <s v="Retail"/>
    <s v="2025-02-25"/>
    <n v="1.1000000000000001"/>
    <n v="0.3"/>
    <n v="392.83"/>
    <n v="491.83"/>
    <s v="No"/>
    <s v="Unnecessary Repair on Interior work; review labor guide and WIP usage."/>
    <n v="90"/>
    <n v="99.000000000000014"/>
    <n v="27"/>
    <n v="72.000000000000014"/>
    <x v="1"/>
  </r>
  <r>
    <x v="7"/>
    <n v="2343551"/>
    <x v="4"/>
    <x v="1"/>
    <x v="0"/>
    <x v="0"/>
    <s v="Production"/>
    <s v="2025-02-19"/>
    <n v="0.9"/>
    <n v="0.3"/>
    <n v="442.98"/>
    <n v="523.98"/>
    <s v="No"/>
    <s v="Used full R&amp;R rotor and pad labor instead of combo labor (2.0/1.6)."/>
    <n v="90"/>
    <n v="81"/>
    <n v="27"/>
    <n v="54"/>
    <x v="1"/>
  </r>
  <r>
    <x v="7"/>
    <n v="2343529"/>
    <x v="20"/>
    <x v="3"/>
    <x v="1"/>
    <x v="4"/>
    <s v="Production"/>
    <s v="2025-02-23"/>
    <n v="1.2"/>
    <n v="0.7"/>
    <n v="403.35"/>
    <n v="511.35"/>
    <s v="No"/>
    <s v="Unnecessary Repair on Alignment work; review labor guide and WIP usage."/>
    <n v="90"/>
    <n v="108"/>
    <n v="62.999999999999993"/>
    <n v="45.000000000000007"/>
    <x v="1"/>
  </r>
  <r>
    <x v="7"/>
    <n v="2343541"/>
    <x v="18"/>
    <x v="1"/>
    <x v="1"/>
    <x v="4"/>
    <s v="Production"/>
    <s v="2025-02-25"/>
    <n v="2.1"/>
    <n v="1.6"/>
    <n v="426.8"/>
    <n v="615.79999999999995"/>
    <s v="No"/>
    <s v="Incorrect Labor Time on Alignment work; review labor guide and WIP usage."/>
    <n v="90"/>
    <n v="189"/>
    <n v="144"/>
    <n v="45"/>
    <x v="1"/>
  </r>
  <r>
    <x v="7"/>
    <n v="2343540"/>
    <x v="4"/>
    <x v="0"/>
    <x v="0"/>
    <x v="10"/>
    <s v="Production"/>
    <s v="2025-02-21"/>
    <n v="2.8"/>
    <n v="2.2999999999999998"/>
    <n v="280.87"/>
    <n v="532.87"/>
    <s v="No"/>
    <s v="Overlapping Labor on TPMS work; review labor guide and WIP usage."/>
    <n v="90"/>
    <n v="251.99999999999997"/>
    <n v="206.99999999999997"/>
    <n v="45"/>
    <x v="1"/>
  </r>
  <r>
    <x v="7"/>
    <n v="2343587"/>
    <x v="12"/>
    <x v="0"/>
    <x v="1"/>
    <x v="4"/>
    <s v="Retail"/>
    <s v="2025-02-20"/>
    <n v="0.7"/>
    <n v="0.3"/>
    <n v="61.57"/>
    <n v="124.57"/>
    <s v="No"/>
    <s v="Added separate alignment line on top of steering component labor that already includes alignment."/>
    <n v="90"/>
    <n v="62.999999999999993"/>
    <n v="27"/>
    <n v="35.999999999999993"/>
    <x v="1"/>
  </r>
  <r>
    <x v="7"/>
    <n v="2343566"/>
    <x v="18"/>
    <x v="1"/>
    <x v="0"/>
    <x v="1"/>
    <s v="Production"/>
    <s v="2025-02-20"/>
    <n v="0.6"/>
    <n v="0.3"/>
    <n v="110.41"/>
    <n v="164.41"/>
    <s v="No"/>
    <s v="Incorrect Labor Time on Engine work; review labor guide and WIP usage."/>
    <n v="90"/>
    <n v="54"/>
    <n v="27"/>
    <n v="27"/>
    <x v="1"/>
  </r>
  <r>
    <x v="7"/>
    <n v="2343549"/>
    <x v="0"/>
    <x v="3"/>
    <x v="1"/>
    <x v="5"/>
    <s v="Retail"/>
    <s v="2025-02-19"/>
    <n v="0.4"/>
    <n v="0.3"/>
    <n v="243.74"/>
    <n v="279.74"/>
    <s v="No"/>
    <s v="Unnecessary Repair on AC / HVAC work; review labor guide and WIP usage."/>
    <n v="90"/>
    <n v="36"/>
    <n v="27"/>
    <n v="9"/>
    <x v="1"/>
  </r>
  <r>
    <x v="7"/>
    <n v="2343534"/>
    <x v="5"/>
    <x v="1"/>
    <x v="0"/>
    <x v="5"/>
    <s v="Production"/>
    <s v="2025-02-25"/>
    <n v="1.2"/>
    <n v="1.2"/>
    <n v="81.650000000000006"/>
    <n v="189.65"/>
    <s v="No"/>
    <s v="Incorrect Labor Time on AC / HVAC work; review labor guide and WIP usage."/>
    <n v="90"/>
    <n v="108"/>
    <n v="108"/>
    <n v="0"/>
    <x v="2"/>
  </r>
  <r>
    <x v="7"/>
    <n v="2343552"/>
    <x v="14"/>
    <x v="1"/>
    <x v="0"/>
    <x v="2"/>
    <s v="Retail"/>
    <s v="2025-02-21"/>
    <n v="1.4"/>
    <n v="1.4"/>
    <n v="411.43"/>
    <n v="537.42999999999995"/>
    <s v="No"/>
    <s v="Full R&amp;R door panel labor used instead of R&amp;I for switch access (0.7/0.3)."/>
    <n v="90"/>
    <n v="125.99999999999999"/>
    <n v="125.99999999999999"/>
    <n v="0"/>
    <x v="2"/>
  </r>
  <r>
    <x v="7"/>
    <n v="2343556"/>
    <x v="18"/>
    <x v="1"/>
    <x v="0"/>
    <x v="9"/>
    <s v="Production"/>
    <s v="2025-02-20"/>
    <n v="0.3"/>
    <n v="0.3"/>
    <n v="405.01"/>
    <n v="432.01"/>
    <s v="No"/>
    <s v="Incorrect Labor Time on Suspension work; review labor guide and WIP usage."/>
    <n v="90"/>
    <n v="27"/>
    <n v="27"/>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32E324-B4B5-44C7-BD0F-D891574D30B1}"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28" firstHeaderRow="1" firstDataRow="1" firstDataCol="1" rowPageCount="2" colPageCount="1"/>
  <pivotFields count="19">
    <pivotField showAll="0">
      <items count="9">
        <item x="0"/>
        <item x="1"/>
        <item x="2"/>
        <item x="3"/>
        <item x="4"/>
        <item x="5"/>
        <item x="6"/>
        <item x="7"/>
        <item t="default"/>
      </items>
    </pivotField>
    <pivotField showAll="0"/>
    <pivotField axis="axisRow" showAll="0" sortType="ascending">
      <items count="24">
        <item x="21"/>
        <item x="4"/>
        <item x="20"/>
        <item x="0"/>
        <item x="10"/>
        <item x="7"/>
        <item x="1"/>
        <item x="17"/>
        <item x="15"/>
        <item x="9"/>
        <item x="12"/>
        <item x="19"/>
        <item x="2"/>
        <item x="3"/>
        <item x="14"/>
        <item x="16"/>
        <item x="18"/>
        <item x="6"/>
        <item x="13"/>
        <item x="11"/>
        <item x="22"/>
        <item x="5"/>
        <item x="8"/>
        <item t="default"/>
      </items>
      <autoSortScope>
        <pivotArea dataOnly="0" outline="0" fieldPosition="0">
          <references count="1">
            <reference field="4294967294" count="1" selected="0">
              <x v="0"/>
            </reference>
          </references>
        </pivotArea>
      </autoSortScope>
    </pivotField>
    <pivotField axis="axisPage" showAll="0">
      <items count="5">
        <item x="2"/>
        <item x="1"/>
        <item x="0"/>
        <item x="3"/>
        <item t="default"/>
      </items>
    </pivotField>
    <pivotField showAll="0"/>
    <pivotField axis="axisPage" showAll="0">
      <items count="13">
        <item x="5"/>
        <item x="4"/>
        <item x="0"/>
        <item x="8"/>
        <item x="2"/>
        <item x="1"/>
        <item x="11"/>
        <item x="6"/>
        <item x="3"/>
        <item x="7"/>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24">
    <i>
      <x v="11"/>
    </i>
    <i>
      <x v="22"/>
    </i>
    <i>
      <x v="15"/>
    </i>
    <i>
      <x v="19"/>
    </i>
    <i>
      <x v="8"/>
    </i>
    <i>
      <x v="7"/>
    </i>
    <i>
      <x v="18"/>
    </i>
    <i>
      <x v="20"/>
    </i>
    <i>
      <x v="9"/>
    </i>
    <i>
      <x v="1"/>
    </i>
    <i>
      <x v="16"/>
    </i>
    <i>
      <x v="4"/>
    </i>
    <i>
      <x v="21"/>
    </i>
    <i>
      <x v="10"/>
    </i>
    <i>
      <x/>
    </i>
    <i>
      <x v="14"/>
    </i>
    <i>
      <x v="3"/>
    </i>
    <i>
      <x v="13"/>
    </i>
    <i>
      <x v="2"/>
    </i>
    <i>
      <x v="5"/>
    </i>
    <i>
      <x v="6"/>
    </i>
    <i>
      <x v="12"/>
    </i>
    <i>
      <x v="17"/>
    </i>
    <i t="grand">
      <x/>
    </i>
  </rowItems>
  <colItems count="1">
    <i/>
  </colItems>
  <pageFields count="2">
    <pageField fld="3" hier="-1"/>
    <pageField fld="5" hier="-1"/>
  </pageFields>
  <dataFields count="1">
    <dataField name="Sum of CostOvercharge"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70327-0C7E-41E1-9723-91764D98B79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9">
    <pivotField showAll="0">
      <items count="9">
        <item x="0"/>
        <item x="1"/>
        <item x="2"/>
        <item x="3"/>
        <item x="4"/>
        <item x="5"/>
        <item x="6"/>
        <item x="7"/>
        <item t="default"/>
      </items>
    </pivotField>
    <pivotField dataField="1"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RO_Number" fld="1" subtotal="count" baseField="3"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A0572A-F8D2-4343-AA04-A56B4D522FFF}"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rowPageCount="1" colPageCount="1"/>
  <pivotFields count="19">
    <pivotField showAll="0">
      <items count="9">
        <item x="0"/>
        <item x="1"/>
        <item x="2"/>
        <item x="3"/>
        <item x="4"/>
        <item x="5"/>
        <item x="6"/>
        <item x="7"/>
        <item t="default"/>
      </items>
    </pivotField>
    <pivotField showAll="0"/>
    <pivotField showAll="0"/>
    <pivotField showAll="0"/>
    <pivotField showAll="0"/>
    <pivotField axis="axisRow" showAll="0" sortType="descending">
      <items count="13">
        <item x="5"/>
        <item x="4"/>
        <item x="0"/>
        <item x="8"/>
        <item x="2"/>
        <item x="1"/>
        <item x="11"/>
        <item x="6"/>
        <item x="3"/>
        <item x="7"/>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
        <item x="1"/>
        <item x="0"/>
        <item x="2"/>
        <item t="default"/>
      </items>
    </pivotField>
  </pivotFields>
  <rowFields count="1">
    <field x="5"/>
  </rowFields>
  <rowItems count="13">
    <i>
      <x v="8"/>
    </i>
    <i>
      <x v="4"/>
    </i>
    <i>
      <x v="1"/>
    </i>
    <i>
      <x v="7"/>
    </i>
    <i>
      <x v="2"/>
    </i>
    <i>
      <x v="10"/>
    </i>
    <i>
      <x v="6"/>
    </i>
    <i>
      <x v="5"/>
    </i>
    <i>
      <x v="9"/>
    </i>
    <i>
      <x/>
    </i>
    <i>
      <x v="11"/>
    </i>
    <i>
      <x v="3"/>
    </i>
    <i t="grand">
      <x/>
    </i>
  </rowItems>
  <colItems count="1">
    <i/>
  </colItems>
  <pageFields count="1">
    <pageField fld="18" hier="-1"/>
  </pageFields>
  <dataFields count="1">
    <dataField name="Average of CostOvercharge" fld="17"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796291-53B5-4C01-AC7E-2C7D3F83CA8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9">
    <pivotField showAll="0">
      <items count="9">
        <item x="0"/>
        <item x="1"/>
        <item x="2"/>
        <item x="3"/>
        <item x="4"/>
        <item x="5"/>
        <item x="6"/>
        <item x="7"/>
        <item t="default"/>
      </items>
    </pivotField>
    <pivotField dataField="1" showAll="0"/>
    <pivotField showAll="0"/>
    <pivotField axis="axisCol" showAll="0">
      <items count="5">
        <item x="2"/>
        <item x="1"/>
        <item x="0"/>
        <item x="3"/>
        <item t="default"/>
      </items>
    </pivotField>
    <pivotField axis="axisRow" showAll="0">
      <items count="6">
        <item x="0"/>
        <item x="2"/>
        <item x="4"/>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3"/>
  </colFields>
  <colItems count="5">
    <i>
      <x/>
    </i>
    <i>
      <x v="1"/>
    </i>
    <i>
      <x v="2"/>
    </i>
    <i>
      <x v="3"/>
    </i>
    <i t="grand">
      <x/>
    </i>
  </colItems>
  <dataFields count="1">
    <dataField name="Count of RO_Number"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Group" xr10:uid="{DC3C862D-8F2A-4F6F-B816-2521F2EE5FAA}" sourceName="OperationGroup">
  <pivotTables>
    <pivotTable tabId="2" name="PivotTable1"/>
  </pivotTables>
  <data>
    <tabular pivotCacheId="1397143373">
      <items count="12">
        <i x="5" s="1"/>
        <i x="4" s="1"/>
        <i x="0" s="1"/>
        <i x="8" s="1"/>
        <i x="2" s="1"/>
        <i x="1" s="1"/>
        <i x="11" s="1"/>
        <i x="6" s="1"/>
        <i x="3" s="1"/>
        <i x="7"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3FCACE-3DE6-46A8-AC4B-B8641F69E03D}" sourceName="Category">
  <pivotTables>
    <pivotTable tabId="2" name="PivotTable1"/>
  </pivotTables>
  <data>
    <tabular pivotCacheId="1397143373">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Initials" xr10:uid="{EB80239B-7396-4F78-9FDD-541BC66469BE}" sourceName="TechInitials">
  <pivotTables>
    <pivotTable tabId="2" name="PivotTable1"/>
  </pivotTables>
  <data>
    <tabular pivotCacheId="1397143373">
      <items count="23">
        <i x="21" s="1"/>
        <i x="4" s="1"/>
        <i x="20" s="1"/>
        <i x="0" s="1"/>
        <i x="10" s="1"/>
        <i x="7" s="1"/>
        <i x="1" s="1"/>
        <i x="17" s="1"/>
        <i x="15" s="1"/>
        <i x="9" s="1"/>
        <i x="12" s="1"/>
        <i x="19" s="1"/>
        <i x="2" s="1"/>
        <i x="3" s="1"/>
        <i x="14" s="1"/>
        <i x="16" s="1"/>
        <i x="18" s="1"/>
        <i x="6" s="1"/>
        <i x="13" s="1"/>
        <i x="11" s="1"/>
        <i x="22" s="1"/>
        <i x="5"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27E75E82-BFDA-40C5-A47E-E000D7C22AF2}" sourceName="Week">
  <pivotTables>
    <pivotTable tabId="2" name="PivotTable1"/>
    <pivotTable tabId="3" name="PivotTable2"/>
    <pivotTable tabId="4" name="PivotTable3"/>
    <pivotTable tabId="5" name="PivotTable4"/>
  </pivotTables>
  <data>
    <tabular pivotCacheId="1397143373">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ionGroup" xr10:uid="{46E06B47-0F68-4F8E-B536-CCE91008644A}" cache="Slicer_OperationGroup" caption="OperationGroup" rowHeight="241300"/>
  <slicer name="Category" xr10:uid="{5C562878-2218-4C73-B53B-27D0D4FDCB14}" cache="Slicer_Category" caption="Category" rowHeight="241300"/>
  <slicer name="TechInitials" xr10:uid="{A92A744A-EEAF-436D-8D08-478CC97E9961}" cache="Slicer_TechInitials" caption="TechInitials" rowHeight="241300"/>
  <slicer name="Week" xr10:uid="{2FCDA8BD-1A6E-4488-BB5E-1566A9B08FAF}" cache="Slicer_Week" caption="Week"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F62F4C-CA85-41B5-BDE3-0E3A5CDF58FD}" name="tblROIssues" displayName="tblROIssues" ref="A1:S202" totalsRowShown="0" headerRowDxfId="7" headerRowBorderDxfId="6" tableBorderDxfId="5">
  <autoFilter ref="A1:S202" xr:uid="{8FF62F4C-CA85-41B5-BDE3-0E3A5CDF58FD}"/>
  <sortState xmlns:xlrd2="http://schemas.microsoft.com/office/spreadsheetml/2017/richdata2" ref="A2:S202">
    <sortCondition descending="1" ref="R1:R202"/>
  </sortState>
  <tableColumns count="19">
    <tableColumn id="1" xr3:uid="{7CAEB603-953B-4CB4-86A7-127A2D8DC69F}" name="Week"/>
    <tableColumn id="2" xr3:uid="{F7CE7639-F60A-4961-AA17-BC997BEDF8A6}" name="RO_Number"/>
    <tableColumn id="3" xr3:uid="{BAC6B3FB-D36F-4684-92F7-A5834877FE45}" name="TechInitials"/>
    <tableColumn id="4" xr3:uid="{923EF57C-478A-41A6-AA70-F60C96A5FBA9}" name="Category"/>
    <tableColumn id="5" xr3:uid="{9EAC98A6-D655-470E-903A-4EF682894075}" name="ActionTaken"/>
    <tableColumn id="6" xr3:uid="{E7C6CDA3-59A8-40D6-B759-F4FC00617502}" name="OperationGroup"/>
    <tableColumn id="7" xr3:uid="{4615A95E-A7BE-49CF-B57D-72CF5624E66F}" name="BuildType"/>
    <tableColumn id="8" xr3:uid="{0AB652FE-3A83-4973-976C-5279EC6AC982}" name="DateReviewed"/>
    <tableColumn id="9" xr3:uid="{4156F71C-797C-4173-A2A0-2A9572C2EEA9}" name="LaborHours_Billed"/>
    <tableColumn id="10" xr3:uid="{DABCABFC-015D-4D10-B088-0E463CE17EC7}" name="LaborHours_Correct"/>
    <tableColumn id="11" xr3:uid="{03ADE355-1A6B-4B54-B66C-2BEFA62F1EC0}" name="PartsCost"/>
    <tableColumn id="12" xr3:uid="{58364B89-88E7-4787-A5C4-58AB220FD9B8}" name="TotalEstimatedCost"/>
    <tableColumn id="13" xr3:uid="{E55B08EC-8FEC-42DE-9DF8-8F06C5E757EC}" name="HighCostFlag"/>
    <tableColumn id="14" xr3:uid="{82556577-3947-4022-ABE1-0D4344BCBC12}" name="Notes"/>
    <tableColumn id="15" xr3:uid="{74D31E9B-16B1-44B2-A4EE-B0B7DEBF5CF0}" name="LaborRate" dataDxfId="4">
      <calculatedColumnFormula>90</calculatedColumnFormula>
    </tableColumn>
    <tableColumn id="16" xr3:uid="{4BFD6F07-BE38-4D4C-B993-0AF2B8C98632}" name="LaborCost_Billed" dataDxfId="3">
      <calculatedColumnFormula>tblROIssues[[#This Row],[LaborHours_Billed]]*tblROIssues[[#This Row],[LaborRate]]</calculatedColumnFormula>
    </tableColumn>
    <tableColumn id="17" xr3:uid="{B80BA61B-869B-44AD-868F-4A5C024F81DF}" name="LaborCost_Correct" dataDxfId="2">
      <calculatedColumnFormula>tblROIssues[[#This Row],[LaborHours_Correct]]*tblROIssues[[#This Row],[LaborRate]]</calculatedColumnFormula>
    </tableColumn>
    <tableColumn id="18" xr3:uid="{062B6B2A-B295-4D63-8553-08B4FE1D2498}" name="CostOvercharge" dataDxfId="1">
      <calculatedColumnFormula>tblROIssues[[#This Row],[LaborCost_Billed]]-tblROIssues[[#This Row],[LaborCost_Correct]]</calculatedColumnFormula>
    </tableColumn>
    <tableColumn id="19" xr3:uid="{BF7DFB63-68C8-4165-9888-F9C6C51C7F1D}" name="IssueSeverity" dataDxfId="0">
      <calculatedColumnFormula>IF(tblROIssues[[#This Row],[CostOvercharge]] &gt; 120, "High",
   IF(tblROIssues[[#This Row],[CostOvercharge]] &gt; 75, "Medium",
   IF(tblROIssues[[#This Row],[CostOvercharge]] &gt; 0, "Low", "None")))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3E455-DA2A-458C-B3B5-7BED471C2948}">
  <dimension ref="A1:B28"/>
  <sheetViews>
    <sheetView topLeftCell="A3" workbookViewId="0">
      <selection activeCell="B7" sqref="B7"/>
    </sheetView>
  </sheetViews>
  <sheetFormatPr defaultRowHeight="15" x14ac:dyDescent="0.25"/>
  <cols>
    <col min="1" max="1" width="15.5703125" bestFit="1" customWidth="1"/>
    <col min="2" max="2" width="22" bestFit="1" customWidth="1"/>
  </cols>
  <sheetData>
    <row r="1" spans="1:2" x14ac:dyDescent="0.25">
      <c r="A1" s="2" t="s">
        <v>3</v>
      </c>
      <c r="B1" t="s">
        <v>198</v>
      </c>
    </row>
    <row r="2" spans="1:2" x14ac:dyDescent="0.25">
      <c r="A2" s="2" t="s">
        <v>5</v>
      </c>
      <c r="B2" t="s">
        <v>198</v>
      </c>
    </row>
    <row r="4" spans="1:2" x14ac:dyDescent="0.25">
      <c r="A4" s="2" t="s">
        <v>195</v>
      </c>
      <c r="B4" t="s">
        <v>197</v>
      </c>
    </row>
    <row r="5" spans="1:2" x14ac:dyDescent="0.25">
      <c r="A5" s="3" t="s">
        <v>34</v>
      </c>
      <c r="B5">
        <v>135.00000000000006</v>
      </c>
    </row>
    <row r="6" spans="1:2" x14ac:dyDescent="0.25">
      <c r="A6" s="3" t="s">
        <v>27</v>
      </c>
      <c r="B6">
        <v>243.00000000000014</v>
      </c>
    </row>
    <row r="7" spans="1:2" x14ac:dyDescent="0.25">
      <c r="A7" s="3" t="s">
        <v>15</v>
      </c>
      <c r="B7">
        <v>261</v>
      </c>
    </row>
    <row r="8" spans="1:2" x14ac:dyDescent="0.25">
      <c r="A8" s="3" t="s">
        <v>22</v>
      </c>
      <c r="B8">
        <v>306</v>
      </c>
    </row>
    <row r="9" spans="1:2" x14ac:dyDescent="0.25">
      <c r="A9" s="3" t="s">
        <v>17</v>
      </c>
      <c r="B9">
        <v>368.99999999999989</v>
      </c>
    </row>
    <row r="10" spans="1:2" x14ac:dyDescent="0.25">
      <c r="A10" s="3" t="s">
        <v>32</v>
      </c>
      <c r="B10">
        <v>369</v>
      </c>
    </row>
    <row r="11" spans="1:2" x14ac:dyDescent="0.25">
      <c r="A11" s="3" t="s">
        <v>26</v>
      </c>
      <c r="B11">
        <v>396</v>
      </c>
    </row>
    <row r="12" spans="1:2" x14ac:dyDescent="0.25">
      <c r="A12" s="3" t="s">
        <v>35</v>
      </c>
      <c r="B12">
        <v>431.99999999999994</v>
      </c>
    </row>
    <row r="13" spans="1:2" x14ac:dyDescent="0.25">
      <c r="A13" s="3" t="s">
        <v>30</v>
      </c>
      <c r="B13">
        <v>468</v>
      </c>
    </row>
    <row r="14" spans="1:2" x14ac:dyDescent="0.25">
      <c r="A14" s="3" t="s">
        <v>23</v>
      </c>
      <c r="B14">
        <v>486</v>
      </c>
    </row>
    <row r="15" spans="1:2" x14ac:dyDescent="0.25">
      <c r="A15" s="3" t="s">
        <v>31</v>
      </c>
      <c r="B15">
        <v>503.99999999999989</v>
      </c>
    </row>
    <row r="16" spans="1:2" x14ac:dyDescent="0.25">
      <c r="A16" s="3" t="s">
        <v>28</v>
      </c>
      <c r="B16">
        <v>540</v>
      </c>
    </row>
    <row r="17" spans="1:2" x14ac:dyDescent="0.25">
      <c r="A17" s="3" t="s">
        <v>16</v>
      </c>
      <c r="B17">
        <v>648</v>
      </c>
    </row>
    <row r="18" spans="1:2" x14ac:dyDescent="0.25">
      <c r="A18" s="3" t="s">
        <v>19</v>
      </c>
      <c r="B18">
        <v>665.99999999999989</v>
      </c>
    </row>
    <row r="19" spans="1:2" x14ac:dyDescent="0.25">
      <c r="A19" s="3" t="s">
        <v>36</v>
      </c>
      <c r="B19">
        <v>683.99999999999989</v>
      </c>
    </row>
    <row r="20" spans="1:2" x14ac:dyDescent="0.25">
      <c r="A20" s="3" t="s">
        <v>18</v>
      </c>
      <c r="B20">
        <v>684</v>
      </c>
    </row>
    <row r="21" spans="1:2" x14ac:dyDescent="0.25">
      <c r="A21" s="3" t="s">
        <v>14</v>
      </c>
      <c r="B21">
        <v>783</v>
      </c>
    </row>
    <row r="22" spans="1:2" x14ac:dyDescent="0.25">
      <c r="A22" s="3" t="s">
        <v>20</v>
      </c>
      <c r="B22">
        <v>792</v>
      </c>
    </row>
    <row r="23" spans="1:2" x14ac:dyDescent="0.25">
      <c r="A23" s="3" t="s">
        <v>33</v>
      </c>
      <c r="B23">
        <v>801</v>
      </c>
    </row>
    <row r="24" spans="1:2" x14ac:dyDescent="0.25">
      <c r="A24" s="3" t="s">
        <v>24</v>
      </c>
      <c r="B24">
        <v>954</v>
      </c>
    </row>
    <row r="25" spans="1:2" x14ac:dyDescent="0.25">
      <c r="A25" s="3" t="s">
        <v>29</v>
      </c>
      <c r="B25">
        <v>999</v>
      </c>
    </row>
    <row r="26" spans="1:2" x14ac:dyDescent="0.25">
      <c r="A26" s="3" t="s">
        <v>21</v>
      </c>
      <c r="B26">
        <v>1053</v>
      </c>
    </row>
    <row r="27" spans="1:2" x14ac:dyDescent="0.25">
      <c r="A27" s="3" t="s">
        <v>25</v>
      </c>
      <c r="B27">
        <v>1161</v>
      </c>
    </row>
    <row r="28" spans="1:2" x14ac:dyDescent="0.25">
      <c r="A28" s="3" t="s">
        <v>196</v>
      </c>
      <c r="B28">
        <v>13734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5DD04-70CD-4EB4-854E-A82292B2D589}">
  <dimension ref="A2:S6"/>
  <sheetViews>
    <sheetView tabSelected="1" workbookViewId="0">
      <selection activeCell="W20" sqref="W20"/>
    </sheetView>
  </sheetViews>
  <sheetFormatPr defaultRowHeight="15" x14ac:dyDescent="0.25"/>
  <sheetData>
    <row r="2" spans="1:19" x14ac:dyDescent="0.25">
      <c r="A2" s="16" t="s">
        <v>202</v>
      </c>
      <c r="B2" s="17"/>
      <c r="C2" s="17"/>
      <c r="D2" s="18"/>
      <c r="F2" s="28" t="s">
        <v>203</v>
      </c>
      <c r="G2" s="29"/>
      <c r="H2" s="29"/>
      <c r="I2" s="30"/>
      <c r="K2" s="40" t="s">
        <v>204</v>
      </c>
      <c r="L2" s="41"/>
      <c r="M2" s="41"/>
      <c r="N2" s="42"/>
      <c r="P2" s="4" t="s">
        <v>205</v>
      </c>
      <c r="Q2" s="5"/>
      <c r="R2" s="5"/>
      <c r="S2" s="6"/>
    </row>
    <row r="3" spans="1:19" x14ac:dyDescent="0.25">
      <c r="A3" s="19"/>
      <c r="B3" s="20"/>
      <c r="C3" s="20"/>
      <c r="D3" s="21"/>
      <c r="F3" s="31"/>
      <c r="G3" s="32"/>
      <c r="H3" s="32"/>
      <c r="I3" s="33"/>
      <c r="K3" s="43"/>
      <c r="L3" s="44"/>
      <c r="M3" s="44"/>
      <c r="N3" s="45"/>
      <c r="P3" s="7"/>
      <c r="Q3" s="8"/>
      <c r="R3" s="8"/>
      <c r="S3" s="9"/>
    </row>
    <row r="4" spans="1:19" x14ac:dyDescent="0.25">
      <c r="A4" s="22">
        <f>SUM(tblROIssues[CostOvercharge])</f>
        <v>13734</v>
      </c>
      <c r="B4" s="23"/>
      <c r="C4" s="23"/>
      <c r="D4" s="24"/>
      <c r="F4" s="34">
        <f>COUNTIF(tblROIssues[IssueSeverity], "High")
 / COUNTA(tblROIssues[IssueSeverity])</f>
        <v>0.17910447761194029</v>
      </c>
      <c r="G4" s="35"/>
      <c r="H4" s="35"/>
      <c r="I4" s="36"/>
      <c r="K4" s="43" t="s">
        <v>38</v>
      </c>
      <c r="L4" s="44"/>
      <c r="M4" s="44"/>
      <c r="N4" s="45"/>
      <c r="P4" s="10" t="s">
        <v>25</v>
      </c>
      <c r="Q4" s="11"/>
      <c r="R4" s="11"/>
      <c r="S4" s="12"/>
    </row>
    <row r="5" spans="1:19" x14ac:dyDescent="0.25">
      <c r="A5" s="22"/>
      <c r="B5" s="23"/>
      <c r="C5" s="23"/>
      <c r="D5" s="24"/>
      <c r="F5" s="34"/>
      <c r="G5" s="35"/>
      <c r="H5" s="35"/>
      <c r="I5" s="36"/>
      <c r="K5" s="43"/>
      <c r="L5" s="44"/>
      <c r="M5" s="44"/>
      <c r="N5" s="45"/>
      <c r="P5" s="10"/>
      <c r="Q5" s="11"/>
      <c r="R5" s="11"/>
      <c r="S5" s="12"/>
    </row>
    <row r="6" spans="1:19" x14ac:dyDescent="0.25">
      <c r="A6" s="25"/>
      <c r="B6" s="26"/>
      <c r="C6" s="26"/>
      <c r="D6" s="27"/>
      <c r="F6" s="37"/>
      <c r="G6" s="38"/>
      <c r="H6" s="38"/>
      <c r="I6" s="39"/>
      <c r="K6" s="46"/>
      <c r="L6" s="47"/>
      <c r="M6" s="47"/>
      <c r="N6" s="48"/>
      <c r="P6" s="13"/>
      <c r="Q6" s="14"/>
      <c r="R6" s="14"/>
      <c r="S6" s="15"/>
    </row>
  </sheetData>
  <mergeCells count="8">
    <mergeCell ref="P2:S3"/>
    <mergeCell ref="P4:S6"/>
    <mergeCell ref="A2:D3"/>
    <mergeCell ref="A4:D6"/>
    <mergeCell ref="F2:I3"/>
    <mergeCell ref="F4:I6"/>
    <mergeCell ref="K2:N3"/>
    <mergeCell ref="K4:N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C9608-3726-4067-ADF4-9D6F11A0D1A0}">
  <dimension ref="A3:B8"/>
  <sheetViews>
    <sheetView workbookViewId="0">
      <selection activeCell="B5" sqref="B5"/>
    </sheetView>
  </sheetViews>
  <sheetFormatPr defaultRowHeight="15" x14ac:dyDescent="0.25"/>
  <cols>
    <col min="1" max="1" width="19.28515625" bestFit="1" customWidth="1"/>
    <col min="2" max="2" width="20.140625" bestFit="1" customWidth="1"/>
  </cols>
  <sheetData>
    <row r="3" spans="1:2" x14ac:dyDescent="0.25">
      <c r="A3" s="2" t="s">
        <v>195</v>
      </c>
      <c r="B3" t="s">
        <v>199</v>
      </c>
    </row>
    <row r="4" spans="1:2" x14ac:dyDescent="0.25">
      <c r="A4" s="3" t="s">
        <v>40</v>
      </c>
      <c r="B4">
        <v>30</v>
      </c>
    </row>
    <row r="5" spans="1:2" x14ac:dyDescent="0.25">
      <c r="A5" s="3" t="s">
        <v>38</v>
      </c>
      <c r="B5">
        <v>72</v>
      </c>
    </row>
    <row r="6" spans="1:2" x14ac:dyDescent="0.25">
      <c r="A6" s="3" t="s">
        <v>37</v>
      </c>
      <c r="B6">
        <v>52</v>
      </c>
    </row>
    <row r="7" spans="1:2" x14ac:dyDescent="0.25">
      <c r="A7" s="3" t="s">
        <v>39</v>
      </c>
      <c r="B7">
        <v>47</v>
      </c>
    </row>
    <row r="8" spans="1:2" x14ac:dyDescent="0.25">
      <c r="A8" s="3" t="s">
        <v>196</v>
      </c>
      <c r="B8">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F913-8192-4D17-8A97-2DB89F5345C9}">
  <dimension ref="A1:B16"/>
  <sheetViews>
    <sheetView workbookViewId="0">
      <selection activeCell="B4" sqref="B4"/>
    </sheetView>
  </sheetViews>
  <sheetFormatPr defaultRowHeight="15" x14ac:dyDescent="0.25"/>
  <cols>
    <col min="1" max="1" width="13.28515625" bestFit="1" customWidth="1"/>
    <col min="2" max="2" width="25.5703125" bestFit="1" customWidth="1"/>
  </cols>
  <sheetData>
    <row r="1" spans="1:2" x14ac:dyDescent="0.25">
      <c r="A1" s="2" t="s">
        <v>194</v>
      </c>
      <c r="B1" t="s">
        <v>198</v>
      </c>
    </row>
    <row r="3" spans="1:2" x14ac:dyDescent="0.25">
      <c r="A3" s="2" t="s">
        <v>195</v>
      </c>
      <c r="B3" t="s">
        <v>200</v>
      </c>
    </row>
    <row r="4" spans="1:2" x14ac:dyDescent="0.25">
      <c r="A4" s="3" t="s">
        <v>53</v>
      </c>
      <c r="B4">
        <v>81</v>
      </c>
    </row>
    <row r="5" spans="1:2" x14ac:dyDescent="0.25">
      <c r="A5" s="3" t="s">
        <v>49</v>
      </c>
      <c r="B5">
        <v>78.206896551724142</v>
      </c>
    </row>
    <row r="6" spans="1:2" x14ac:dyDescent="0.25">
      <c r="A6" s="3" t="s">
        <v>50</v>
      </c>
      <c r="B6">
        <v>77.294117647058826</v>
      </c>
    </row>
    <row r="7" spans="1:2" x14ac:dyDescent="0.25">
      <c r="A7" s="3" t="s">
        <v>51</v>
      </c>
      <c r="B7">
        <v>77.142857142857139</v>
      </c>
    </row>
    <row r="8" spans="1:2" x14ac:dyDescent="0.25">
      <c r="A8" s="3" t="s">
        <v>46</v>
      </c>
      <c r="B8">
        <v>74.172413793103445</v>
      </c>
    </row>
    <row r="9" spans="1:2" x14ac:dyDescent="0.25">
      <c r="A9" s="3" t="s">
        <v>55</v>
      </c>
      <c r="B9">
        <v>73.125</v>
      </c>
    </row>
    <row r="10" spans="1:2" x14ac:dyDescent="0.25">
      <c r="A10" s="3" t="s">
        <v>57</v>
      </c>
      <c r="B10">
        <v>71.999999999999986</v>
      </c>
    </row>
    <row r="11" spans="1:2" x14ac:dyDescent="0.25">
      <c r="A11" s="3" t="s">
        <v>48</v>
      </c>
      <c r="B11">
        <v>70.5</v>
      </c>
    </row>
    <row r="12" spans="1:2" x14ac:dyDescent="0.25">
      <c r="A12" s="3" t="s">
        <v>54</v>
      </c>
      <c r="B12">
        <v>65</v>
      </c>
    </row>
    <row r="13" spans="1:2" x14ac:dyDescent="0.25">
      <c r="A13" s="3" t="s">
        <v>56</v>
      </c>
      <c r="B13">
        <v>60.352941176470587</v>
      </c>
    </row>
    <row r="14" spans="1:2" x14ac:dyDescent="0.25">
      <c r="A14" s="3" t="s">
        <v>47</v>
      </c>
      <c r="B14">
        <v>53.217391304347828</v>
      </c>
    </row>
    <row r="15" spans="1:2" x14ac:dyDescent="0.25">
      <c r="A15" s="3" t="s">
        <v>52</v>
      </c>
      <c r="B15">
        <v>37.384615384615387</v>
      </c>
    </row>
    <row r="16" spans="1:2" x14ac:dyDescent="0.25">
      <c r="A16" s="3" t="s">
        <v>196</v>
      </c>
      <c r="B16">
        <v>68.328358208955223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9288-EDC4-4FB6-8668-3E2C081150CE}">
  <dimension ref="A3:F10"/>
  <sheetViews>
    <sheetView workbookViewId="0">
      <selection activeCell="D21" sqref="D21"/>
    </sheetView>
  </sheetViews>
  <sheetFormatPr defaultRowHeight="15" x14ac:dyDescent="0.25"/>
  <cols>
    <col min="1" max="1" width="20.140625" bestFit="1" customWidth="1"/>
    <col min="2" max="2" width="16.28515625" bestFit="1" customWidth="1"/>
    <col min="3" max="3" width="19.28515625" bestFit="1" customWidth="1"/>
    <col min="4" max="4" width="17.42578125" bestFit="1" customWidth="1"/>
    <col min="5" max="5" width="18.7109375" bestFit="1" customWidth="1"/>
    <col min="6" max="6" width="11.28515625" bestFit="1" customWidth="1"/>
  </cols>
  <sheetData>
    <row r="3" spans="1:6" x14ac:dyDescent="0.25">
      <c r="A3" s="2" t="s">
        <v>199</v>
      </c>
      <c r="B3" s="2" t="s">
        <v>201</v>
      </c>
    </row>
    <row r="4" spans="1:6" x14ac:dyDescent="0.25">
      <c r="A4" s="2" t="s">
        <v>195</v>
      </c>
      <c r="B4" t="s">
        <v>40</v>
      </c>
      <c r="C4" t="s">
        <v>38</v>
      </c>
      <c r="D4" t="s">
        <v>37</v>
      </c>
      <c r="E4" t="s">
        <v>39</v>
      </c>
      <c r="F4" t="s">
        <v>196</v>
      </c>
    </row>
    <row r="5" spans="1:6" x14ac:dyDescent="0.25">
      <c r="A5" s="3" t="s">
        <v>41</v>
      </c>
      <c r="B5">
        <v>13</v>
      </c>
      <c r="C5">
        <v>29</v>
      </c>
      <c r="D5">
        <v>27</v>
      </c>
      <c r="E5">
        <v>17</v>
      </c>
      <c r="F5">
        <v>86</v>
      </c>
    </row>
    <row r="6" spans="1:6" x14ac:dyDescent="0.25">
      <c r="A6" s="3" t="s">
        <v>44</v>
      </c>
      <c r="B6">
        <v>4</v>
      </c>
      <c r="C6">
        <v>5</v>
      </c>
      <c r="D6">
        <v>1</v>
      </c>
      <c r="E6">
        <v>4</v>
      </c>
      <c r="F6">
        <v>14</v>
      </c>
    </row>
    <row r="7" spans="1:6" x14ac:dyDescent="0.25">
      <c r="A7" s="3" t="s">
        <v>45</v>
      </c>
      <c r="B7">
        <v>2</v>
      </c>
      <c r="C7">
        <v>11</v>
      </c>
      <c r="D7">
        <v>9</v>
      </c>
      <c r="E7">
        <v>8</v>
      </c>
      <c r="F7">
        <v>30</v>
      </c>
    </row>
    <row r="8" spans="1:6" x14ac:dyDescent="0.25">
      <c r="A8" s="3" t="s">
        <v>43</v>
      </c>
      <c r="B8">
        <v>2</v>
      </c>
      <c r="C8">
        <v>6</v>
      </c>
      <c r="D8">
        <v>5</v>
      </c>
      <c r="E8">
        <v>5</v>
      </c>
      <c r="F8">
        <v>18</v>
      </c>
    </row>
    <row r="9" spans="1:6" x14ac:dyDescent="0.25">
      <c r="A9" s="3" t="s">
        <v>42</v>
      </c>
      <c r="B9">
        <v>9</v>
      </c>
      <c r="C9">
        <v>21</v>
      </c>
      <c r="D9">
        <v>10</v>
      </c>
      <c r="E9">
        <v>13</v>
      </c>
      <c r="F9">
        <v>53</v>
      </c>
    </row>
    <row r="10" spans="1:6" x14ac:dyDescent="0.25">
      <c r="A10" s="3" t="s">
        <v>196</v>
      </c>
      <c r="B10">
        <v>30</v>
      </c>
      <c r="C10">
        <v>72</v>
      </c>
      <c r="D10">
        <v>52</v>
      </c>
      <c r="E10">
        <v>47</v>
      </c>
      <c r="F10">
        <v>201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2"/>
  <sheetViews>
    <sheetView workbookViewId="0">
      <selection activeCell="E12" sqref="E12"/>
    </sheetView>
  </sheetViews>
  <sheetFormatPr defaultRowHeight="15" x14ac:dyDescent="0.25"/>
  <cols>
    <col min="1" max="1" width="10.85546875" bestFit="1" customWidth="1"/>
    <col min="2" max="2" width="16.42578125" bestFit="1" customWidth="1"/>
    <col min="3" max="3" width="15.7109375" bestFit="1" customWidth="1"/>
    <col min="4" max="4" width="19.28515625" bestFit="1" customWidth="1"/>
    <col min="5" max="5" width="16.5703125" bestFit="1" customWidth="1"/>
    <col min="6" max="6" width="20.28515625" bestFit="1" customWidth="1"/>
    <col min="7" max="7" width="14.42578125" bestFit="1" customWidth="1"/>
    <col min="8" max="8" width="18.7109375" bestFit="1" customWidth="1"/>
    <col min="9" max="9" width="22" bestFit="1" customWidth="1"/>
    <col min="10" max="10" width="23.28515625" bestFit="1" customWidth="1"/>
    <col min="11" max="11" width="13.85546875" bestFit="1" customWidth="1"/>
    <col min="12" max="12" width="23" bestFit="1" customWidth="1"/>
    <col min="13" max="13" width="17" bestFit="1" customWidth="1"/>
    <col min="14" max="14" width="91.5703125" bestFit="1" customWidth="1"/>
    <col min="15" max="15" width="14.42578125" bestFit="1" customWidth="1"/>
    <col min="16" max="16" width="20.5703125" bestFit="1" customWidth="1"/>
    <col min="17" max="17" width="22" bestFit="1" customWidth="1"/>
    <col min="18" max="18" width="19.7109375" bestFit="1" customWidth="1"/>
    <col min="19" max="19" width="17.425781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190</v>
      </c>
      <c r="P1" s="1" t="s">
        <v>191</v>
      </c>
      <c r="Q1" s="1" t="s">
        <v>192</v>
      </c>
      <c r="R1" s="1" t="s">
        <v>193</v>
      </c>
      <c r="S1" s="1" t="s">
        <v>194</v>
      </c>
    </row>
    <row r="2" spans="1:19" x14ac:dyDescent="0.25">
      <c r="A2">
        <v>5</v>
      </c>
      <c r="B2">
        <v>2343334</v>
      </c>
      <c r="C2" t="s">
        <v>24</v>
      </c>
      <c r="D2" t="s">
        <v>39</v>
      </c>
      <c r="E2" t="s">
        <v>43</v>
      </c>
      <c r="F2" t="s">
        <v>54</v>
      </c>
      <c r="G2" t="s">
        <v>59</v>
      </c>
      <c r="H2" t="s">
        <v>93</v>
      </c>
      <c r="I2">
        <v>2.2000000000000002</v>
      </c>
      <c r="J2">
        <v>0.4</v>
      </c>
      <c r="K2">
        <v>221.68</v>
      </c>
      <c r="L2">
        <v>419.68</v>
      </c>
      <c r="M2" t="s">
        <v>115</v>
      </c>
      <c r="N2" t="s">
        <v>155</v>
      </c>
      <c r="O2">
        <f>90</f>
        <v>90</v>
      </c>
      <c r="P2">
        <f>tblROIssues[[#This Row],[LaborHours_Billed]]*tblROIssues[[#This Row],[LaborRate]]</f>
        <v>198.00000000000003</v>
      </c>
      <c r="Q2">
        <f>tblROIssues[[#This Row],[LaborHours_Correct]]*tblROIssues[[#This Row],[LaborRate]]</f>
        <v>36</v>
      </c>
      <c r="R2">
        <f>tblROIssues[[#This Row],[LaborCost_Billed]]-tblROIssues[[#This Row],[LaborCost_Correct]]</f>
        <v>162.00000000000003</v>
      </c>
      <c r="S2" t="str">
        <f>IF(tblROIssues[[#This Row],[CostOvercharge]] &gt; 120, "High",
   IF(tblROIssues[[#This Row],[CostOvercharge]] &gt; 75, "Medium",
   IF(tblROIssues[[#This Row],[CostOvercharge]] &gt; 0, "Low", "None")))</f>
        <v>High</v>
      </c>
    </row>
    <row r="3" spans="1:19" x14ac:dyDescent="0.25">
      <c r="A3">
        <v>2</v>
      </c>
      <c r="B3">
        <v>2343153</v>
      </c>
      <c r="C3" t="s">
        <v>25</v>
      </c>
      <c r="D3" t="s">
        <v>39</v>
      </c>
      <c r="E3" t="s">
        <v>43</v>
      </c>
      <c r="F3" t="s">
        <v>51</v>
      </c>
      <c r="G3" t="s">
        <v>59</v>
      </c>
      <c r="H3" t="s">
        <v>67</v>
      </c>
      <c r="I3">
        <v>2.9</v>
      </c>
      <c r="J3">
        <v>1.1000000000000001</v>
      </c>
      <c r="K3">
        <v>63.04</v>
      </c>
      <c r="L3">
        <v>324.04000000000002</v>
      </c>
      <c r="M3" t="s">
        <v>115</v>
      </c>
      <c r="N3" t="s">
        <v>148</v>
      </c>
      <c r="O3">
        <f>90</f>
        <v>90</v>
      </c>
      <c r="P3">
        <f>tblROIssues[[#This Row],[LaborHours_Billed]]*tblROIssues[[#This Row],[LaborRate]]</f>
        <v>261</v>
      </c>
      <c r="Q3">
        <f>tblROIssues[[#This Row],[LaborHours_Correct]]*tblROIssues[[#This Row],[LaborRate]]</f>
        <v>99.000000000000014</v>
      </c>
      <c r="R3">
        <f>tblROIssues[[#This Row],[LaborCost_Billed]]-tblROIssues[[#This Row],[LaborCost_Correct]]</f>
        <v>162</v>
      </c>
      <c r="S3" t="str">
        <f>IF(tblROIssues[[#This Row],[CostOvercharge]] &gt; 120, "High",
   IF(tblROIssues[[#This Row],[CostOvercharge]] &gt; 75, "Medium",
   IF(tblROIssues[[#This Row],[CostOvercharge]] &gt; 0, "Low", "None")))</f>
        <v>High</v>
      </c>
    </row>
    <row r="4" spans="1:19" x14ac:dyDescent="0.25">
      <c r="A4">
        <v>4</v>
      </c>
      <c r="B4">
        <v>2343266</v>
      </c>
      <c r="C4" t="s">
        <v>21</v>
      </c>
      <c r="D4" t="s">
        <v>40</v>
      </c>
      <c r="E4" t="s">
        <v>41</v>
      </c>
      <c r="F4" t="s">
        <v>55</v>
      </c>
      <c r="G4" t="s">
        <v>59</v>
      </c>
      <c r="H4" t="s">
        <v>82</v>
      </c>
      <c r="I4">
        <v>4.3</v>
      </c>
      <c r="J4">
        <v>2.5</v>
      </c>
      <c r="K4">
        <v>339.02</v>
      </c>
      <c r="L4">
        <v>726.02</v>
      </c>
      <c r="M4" t="s">
        <v>116</v>
      </c>
      <c r="N4" t="s">
        <v>160</v>
      </c>
      <c r="O4">
        <f>90</f>
        <v>90</v>
      </c>
      <c r="P4">
        <f>tblROIssues[[#This Row],[LaborHours_Billed]]*tblROIssues[[#This Row],[LaborRate]]</f>
        <v>387</v>
      </c>
      <c r="Q4">
        <f>tblROIssues[[#This Row],[LaborHours_Correct]]*tblROIssues[[#This Row],[LaborRate]]</f>
        <v>225</v>
      </c>
      <c r="R4">
        <f>tblROIssues[[#This Row],[LaborCost_Billed]]-tblROIssues[[#This Row],[LaborCost_Correct]]</f>
        <v>162</v>
      </c>
      <c r="S4" t="str">
        <f>IF(tblROIssues[[#This Row],[CostOvercharge]] &gt; 120, "High",
   IF(tblROIssues[[#This Row],[CostOvercharge]] &gt; 75, "Medium",
   IF(tblROIssues[[#This Row],[CostOvercharge]] &gt; 0, "Low", "None")))</f>
        <v>High</v>
      </c>
    </row>
    <row r="5" spans="1:19" x14ac:dyDescent="0.25">
      <c r="A5">
        <v>5</v>
      </c>
      <c r="B5">
        <v>2343305</v>
      </c>
      <c r="C5" t="s">
        <v>14</v>
      </c>
      <c r="D5" t="s">
        <v>38</v>
      </c>
      <c r="E5" t="s">
        <v>45</v>
      </c>
      <c r="F5" t="s">
        <v>49</v>
      </c>
      <c r="G5" t="s">
        <v>58</v>
      </c>
      <c r="H5" t="s">
        <v>89</v>
      </c>
      <c r="I5">
        <v>3.7</v>
      </c>
      <c r="J5">
        <v>1.9</v>
      </c>
      <c r="K5">
        <v>448.49</v>
      </c>
      <c r="L5">
        <v>781.49</v>
      </c>
      <c r="M5" t="s">
        <v>116</v>
      </c>
      <c r="N5" t="s">
        <v>168</v>
      </c>
      <c r="O5">
        <f>90</f>
        <v>90</v>
      </c>
      <c r="P5">
        <f>tblROIssues[[#This Row],[LaborHours_Billed]]*tblROIssues[[#This Row],[LaborRate]]</f>
        <v>333</v>
      </c>
      <c r="Q5">
        <f>tblROIssues[[#This Row],[LaborHours_Correct]]*tblROIssues[[#This Row],[LaborRate]]</f>
        <v>171</v>
      </c>
      <c r="R5">
        <f>tblROIssues[[#This Row],[LaborCost_Billed]]-tblROIssues[[#This Row],[LaborCost_Correct]]</f>
        <v>162</v>
      </c>
      <c r="S5" t="str">
        <f>IF(tblROIssues[[#This Row],[CostOvercharge]] &gt; 120, "High",
   IF(tblROIssues[[#This Row],[CostOvercharge]] &gt; 75, "Medium",
   IF(tblROIssues[[#This Row],[CostOvercharge]] &gt; 0, "Low", "None")))</f>
        <v>High</v>
      </c>
    </row>
    <row r="6" spans="1:19" x14ac:dyDescent="0.25">
      <c r="A6">
        <v>7</v>
      </c>
      <c r="B6">
        <v>2343469</v>
      </c>
      <c r="C6" t="s">
        <v>30</v>
      </c>
      <c r="D6" t="s">
        <v>38</v>
      </c>
      <c r="E6" t="s">
        <v>41</v>
      </c>
      <c r="F6" t="s">
        <v>46</v>
      </c>
      <c r="G6" t="s">
        <v>59</v>
      </c>
      <c r="H6" t="s">
        <v>105</v>
      </c>
      <c r="I6">
        <v>4</v>
      </c>
      <c r="J6">
        <v>2.2999999999999998</v>
      </c>
      <c r="K6">
        <v>254.31</v>
      </c>
      <c r="L6">
        <v>614.30999999999995</v>
      </c>
      <c r="M6" t="s">
        <v>115</v>
      </c>
      <c r="N6" t="s">
        <v>180</v>
      </c>
      <c r="O6">
        <f>90</f>
        <v>90</v>
      </c>
      <c r="P6">
        <f>tblROIssues[[#This Row],[LaborHours_Billed]]*tblROIssues[[#This Row],[LaborRate]]</f>
        <v>360</v>
      </c>
      <c r="Q6">
        <f>tblROIssues[[#This Row],[LaborHours_Correct]]*tblROIssues[[#This Row],[LaborRate]]</f>
        <v>206.99999999999997</v>
      </c>
      <c r="R6">
        <f>tblROIssues[[#This Row],[LaborCost_Billed]]-tblROIssues[[#This Row],[LaborCost_Correct]]</f>
        <v>153.00000000000003</v>
      </c>
      <c r="S6" t="str">
        <f>IF(tblROIssues[[#This Row],[CostOvercharge]] &gt; 120, "High",
   IF(tblROIssues[[#This Row],[CostOvercharge]] &gt; 75, "Medium",
   IF(tblROIssues[[#This Row],[CostOvercharge]] &gt; 0, "Low", "None")))</f>
        <v>High</v>
      </c>
    </row>
    <row r="7" spans="1:19" x14ac:dyDescent="0.25">
      <c r="A7">
        <v>2</v>
      </c>
      <c r="B7">
        <v>2343143</v>
      </c>
      <c r="C7" t="s">
        <v>15</v>
      </c>
      <c r="D7" t="s">
        <v>37</v>
      </c>
      <c r="E7" t="s">
        <v>43</v>
      </c>
      <c r="F7" t="s">
        <v>47</v>
      </c>
      <c r="G7" t="s">
        <v>58</v>
      </c>
      <c r="H7" t="s">
        <v>69</v>
      </c>
      <c r="I7">
        <v>4.2</v>
      </c>
      <c r="J7">
        <v>2.5</v>
      </c>
      <c r="K7">
        <v>411.69</v>
      </c>
      <c r="L7">
        <v>789.69</v>
      </c>
      <c r="M7" t="s">
        <v>116</v>
      </c>
      <c r="N7" t="s">
        <v>146</v>
      </c>
      <c r="O7">
        <f>90</f>
        <v>90</v>
      </c>
      <c r="P7">
        <f>tblROIssues[[#This Row],[LaborHours_Billed]]*tblROIssues[[#This Row],[LaborRate]]</f>
        <v>378</v>
      </c>
      <c r="Q7">
        <f>tblROIssues[[#This Row],[LaborHours_Correct]]*tblROIssues[[#This Row],[LaborRate]]</f>
        <v>225</v>
      </c>
      <c r="R7">
        <f>tblROIssues[[#This Row],[LaborCost_Billed]]-tblROIssues[[#This Row],[LaborCost_Correct]]</f>
        <v>153</v>
      </c>
      <c r="S7" t="str">
        <f>IF(tblROIssues[[#This Row],[CostOvercharge]] &gt; 120, "High",
   IF(tblROIssues[[#This Row],[CostOvercharge]] &gt; 75, "Medium",
   IF(tblROIssues[[#This Row],[CostOvercharge]] &gt; 0, "Low", "None")))</f>
        <v>High</v>
      </c>
    </row>
    <row r="8" spans="1:19" x14ac:dyDescent="0.25">
      <c r="A8">
        <v>2</v>
      </c>
      <c r="B8">
        <v>2343151</v>
      </c>
      <c r="C8" t="s">
        <v>19</v>
      </c>
      <c r="D8" t="s">
        <v>40</v>
      </c>
      <c r="E8" t="s">
        <v>43</v>
      </c>
      <c r="F8" t="s">
        <v>50</v>
      </c>
      <c r="G8" t="s">
        <v>59</v>
      </c>
      <c r="H8" t="s">
        <v>69</v>
      </c>
      <c r="I8">
        <v>2.6</v>
      </c>
      <c r="J8">
        <v>0.9</v>
      </c>
      <c r="K8">
        <v>313.20999999999998</v>
      </c>
      <c r="L8">
        <v>547.21</v>
      </c>
      <c r="M8" t="s">
        <v>116</v>
      </c>
      <c r="N8" t="s">
        <v>147</v>
      </c>
      <c r="O8">
        <f>90</f>
        <v>90</v>
      </c>
      <c r="P8">
        <f>tblROIssues[[#This Row],[LaborHours_Billed]]*tblROIssues[[#This Row],[LaborRate]]</f>
        <v>234</v>
      </c>
      <c r="Q8">
        <f>tblROIssues[[#This Row],[LaborHours_Correct]]*tblROIssues[[#This Row],[LaborRate]]</f>
        <v>81</v>
      </c>
      <c r="R8">
        <f>tblROIssues[[#This Row],[LaborCost_Billed]]-tblROIssues[[#This Row],[LaborCost_Correct]]</f>
        <v>153</v>
      </c>
      <c r="S8" t="str">
        <f>IF(tblROIssues[[#This Row],[CostOvercharge]] &gt; 120, "High",
   IF(tblROIssues[[#This Row],[CostOvercharge]] &gt; 75, "Medium",
   IF(tblROIssues[[#This Row],[CostOvercharge]] &gt; 0, "Low", "None")))</f>
        <v>High</v>
      </c>
    </row>
    <row r="9" spans="1:19" x14ac:dyDescent="0.25">
      <c r="A9">
        <v>7</v>
      </c>
      <c r="B9">
        <v>2343478</v>
      </c>
      <c r="C9" t="s">
        <v>33</v>
      </c>
      <c r="D9" t="s">
        <v>38</v>
      </c>
      <c r="E9" t="s">
        <v>43</v>
      </c>
      <c r="F9" t="s">
        <v>51</v>
      </c>
      <c r="G9" t="s">
        <v>59</v>
      </c>
      <c r="H9" t="s">
        <v>104</v>
      </c>
      <c r="I9">
        <v>3.4</v>
      </c>
      <c r="J9">
        <v>1.7</v>
      </c>
      <c r="K9">
        <v>416.51</v>
      </c>
      <c r="L9">
        <v>722.51</v>
      </c>
      <c r="M9" t="s">
        <v>116</v>
      </c>
      <c r="N9" t="s">
        <v>181</v>
      </c>
      <c r="O9">
        <f>90</f>
        <v>90</v>
      </c>
      <c r="P9">
        <f>tblROIssues[[#This Row],[LaborHours_Billed]]*tblROIssues[[#This Row],[LaborRate]]</f>
        <v>306</v>
      </c>
      <c r="Q9">
        <f>tblROIssues[[#This Row],[LaborHours_Correct]]*tblROIssues[[#This Row],[LaborRate]]</f>
        <v>153</v>
      </c>
      <c r="R9">
        <f>tblROIssues[[#This Row],[LaborCost_Billed]]-tblROIssues[[#This Row],[LaborCost_Correct]]</f>
        <v>153</v>
      </c>
      <c r="S9" t="str">
        <f>IF(tblROIssues[[#This Row],[CostOvercharge]] &gt; 120, "High",
   IF(tblROIssues[[#This Row],[CostOvercharge]] &gt; 75, "Medium",
   IF(tblROIssues[[#This Row],[CostOvercharge]] &gt; 0, "Low", "None")))</f>
        <v>High</v>
      </c>
    </row>
    <row r="10" spans="1:19" x14ac:dyDescent="0.25">
      <c r="A10">
        <v>8</v>
      </c>
      <c r="B10">
        <v>2343574</v>
      </c>
      <c r="C10" t="s">
        <v>18</v>
      </c>
      <c r="D10" t="s">
        <v>39</v>
      </c>
      <c r="E10" t="s">
        <v>41</v>
      </c>
      <c r="F10" t="s">
        <v>51</v>
      </c>
      <c r="G10" t="s">
        <v>59</v>
      </c>
      <c r="H10" t="s">
        <v>110</v>
      </c>
      <c r="I10">
        <v>3.1</v>
      </c>
      <c r="J10">
        <v>1.4</v>
      </c>
      <c r="K10">
        <v>329.66</v>
      </c>
      <c r="L10">
        <v>608.66</v>
      </c>
      <c r="M10" t="s">
        <v>115</v>
      </c>
      <c r="N10" t="s">
        <v>148</v>
      </c>
      <c r="O10">
        <f>90</f>
        <v>90</v>
      </c>
      <c r="P10">
        <f>tblROIssues[[#This Row],[LaborHours_Billed]]*tblROIssues[[#This Row],[LaborRate]]</f>
        <v>279</v>
      </c>
      <c r="Q10">
        <f>tblROIssues[[#This Row],[LaborHours_Correct]]*tblROIssues[[#This Row],[LaborRate]]</f>
        <v>125.99999999999999</v>
      </c>
      <c r="R10">
        <f>tblROIssues[[#This Row],[LaborCost_Billed]]-tblROIssues[[#This Row],[LaborCost_Correct]]</f>
        <v>153</v>
      </c>
      <c r="S10" t="str">
        <f>IF(tblROIssues[[#This Row],[CostOvercharge]] &gt; 120, "High",
   IF(tblROIssues[[#This Row],[CostOvercharge]] &gt; 75, "Medium",
   IF(tblROIssues[[#This Row],[CostOvercharge]] &gt; 0, "Low", "None")))</f>
        <v>High</v>
      </c>
    </row>
    <row r="11" spans="1:19" x14ac:dyDescent="0.25">
      <c r="A11">
        <v>1</v>
      </c>
      <c r="B11">
        <v>2343001</v>
      </c>
      <c r="C11" t="s">
        <v>14</v>
      </c>
      <c r="D11" t="s">
        <v>37</v>
      </c>
      <c r="E11" t="s">
        <v>41</v>
      </c>
      <c r="F11" t="s">
        <v>46</v>
      </c>
      <c r="G11" t="s">
        <v>58</v>
      </c>
      <c r="H11" t="s">
        <v>60</v>
      </c>
      <c r="I11">
        <v>1.9</v>
      </c>
      <c r="J11">
        <v>0.3</v>
      </c>
      <c r="K11">
        <v>329.4</v>
      </c>
      <c r="L11">
        <v>500.4</v>
      </c>
      <c r="M11" t="s">
        <v>115</v>
      </c>
      <c r="N11" t="s">
        <v>117</v>
      </c>
      <c r="O11">
        <f>90</f>
        <v>90</v>
      </c>
      <c r="P11">
        <f>tblROIssues[[#This Row],[LaborHours_Billed]]*tblROIssues[[#This Row],[LaborRate]]</f>
        <v>171</v>
      </c>
      <c r="Q11">
        <f>tblROIssues[[#This Row],[LaborHours_Correct]]*tblROIssues[[#This Row],[LaborRate]]</f>
        <v>27</v>
      </c>
      <c r="R11">
        <f>tblROIssues[[#This Row],[LaborCost_Billed]]-tblROIssues[[#This Row],[LaborCost_Correct]]</f>
        <v>144</v>
      </c>
      <c r="S11" t="str">
        <f>IF(tblROIssues[[#This Row],[CostOvercharge]] &gt; 120, "High",
   IF(tblROIssues[[#This Row],[CostOvercharge]] &gt; 75, "Medium",
   IF(tblROIssues[[#This Row],[CostOvercharge]] &gt; 0, "Low", "None")))</f>
        <v>High</v>
      </c>
    </row>
    <row r="12" spans="1:19" x14ac:dyDescent="0.25">
      <c r="A12">
        <v>1</v>
      </c>
      <c r="B12">
        <v>2343069</v>
      </c>
      <c r="C12" t="s">
        <v>29</v>
      </c>
      <c r="D12" t="s">
        <v>38</v>
      </c>
      <c r="E12" t="s">
        <v>41</v>
      </c>
      <c r="F12" t="s">
        <v>48</v>
      </c>
      <c r="G12" t="s">
        <v>59</v>
      </c>
      <c r="H12" t="s">
        <v>62</v>
      </c>
      <c r="I12">
        <v>3.7</v>
      </c>
      <c r="J12">
        <v>2.1</v>
      </c>
      <c r="K12">
        <v>143.1</v>
      </c>
      <c r="L12">
        <v>476.1</v>
      </c>
      <c r="M12" t="s">
        <v>115</v>
      </c>
      <c r="N12" t="s">
        <v>135</v>
      </c>
      <c r="O12">
        <f>90</f>
        <v>90</v>
      </c>
      <c r="P12">
        <f>tblROIssues[[#This Row],[LaborHours_Billed]]*tblROIssues[[#This Row],[LaborRate]]</f>
        <v>333</v>
      </c>
      <c r="Q12">
        <f>tblROIssues[[#This Row],[LaborHours_Correct]]*tblROIssues[[#This Row],[LaborRate]]</f>
        <v>189</v>
      </c>
      <c r="R12">
        <f>tblROIssues[[#This Row],[LaborCost_Billed]]-tblROIssues[[#This Row],[LaborCost_Correct]]</f>
        <v>144</v>
      </c>
      <c r="S12" t="str">
        <f>IF(tblROIssues[[#This Row],[CostOvercharge]] &gt; 120, "High",
   IF(tblROIssues[[#This Row],[CostOvercharge]] &gt; 75, "Medium",
   IF(tblROIssues[[#This Row],[CostOvercharge]] &gt; 0, "Low", "None")))</f>
        <v>High</v>
      </c>
    </row>
    <row r="13" spans="1:19" x14ac:dyDescent="0.25">
      <c r="A13">
        <v>3</v>
      </c>
      <c r="B13">
        <v>2343213</v>
      </c>
      <c r="C13" t="s">
        <v>26</v>
      </c>
      <c r="D13" t="s">
        <v>37</v>
      </c>
      <c r="E13" t="s">
        <v>45</v>
      </c>
      <c r="F13" t="s">
        <v>46</v>
      </c>
      <c r="G13" t="s">
        <v>58</v>
      </c>
      <c r="H13" t="s">
        <v>80</v>
      </c>
      <c r="I13">
        <v>1.9</v>
      </c>
      <c r="J13">
        <v>0.3</v>
      </c>
      <c r="K13">
        <v>407.41</v>
      </c>
      <c r="L13">
        <v>578.41</v>
      </c>
      <c r="M13" t="s">
        <v>115</v>
      </c>
      <c r="N13" t="s">
        <v>117</v>
      </c>
      <c r="O13">
        <f>90</f>
        <v>90</v>
      </c>
      <c r="P13">
        <f>tblROIssues[[#This Row],[LaborHours_Billed]]*tblROIssues[[#This Row],[LaborRate]]</f>
        <v>171</v>
      </c>
      <c r="Q13">
        <f>tblROIssues[[#This Row],[LaborHours_Correct]]*tblROIssues[[#This Row],[LaborRate]]</f>
        <v>27</v>
      </c>
      <c r="R13">
        <f>tblROIssues[[#This Row],[LaborCost_Billed]]-tblROIssues[[#This Row],[LaborCost_Correct]]</f>
        <v>144</v>
      </c>
      <c r="S13" t="str">
        <f>IF(tblROIssues[[#This Row],[CostOvercharge]] &gt; 120, "High",
   IF(tblROIssues[[#This Row],[CostOvercharge]] &gt; 75, "Medium",
   IF(tblROIssues[[#This Row],[CostOvercharge]] &gt; 0, "Low", "None")))</f>
        <v>High</v>
      </c>
    </row>
    <row r="14" spans="1:19" x14ac:dyDescent="0.25">
      <c r="A14">
        <v>6</v>
      </c>
      <c r="B14">
        <v>2343368</v>
      </c>
      <c r="C14" t="s">
        <v>20</v>
      </c>
      <c r="D14" t="s">
        <v>37</v>
      </c>
      <c r="E14" t="s">
        <v>41</v>
      </c>
      <c r="F14" t="s">
        <v>47</v>
      </c>
      <c r="G14" t="s">
        <v>59</v>
      </c>
      <c r="H14" t="s">
        <v>99</v>
      </c>
      <c r="I14">
        <v>3.3</v>
      </c>
      <c r="J14">
        <v>1.7</v>
      </c>
      <c r="K14">
        <v>230.25</v>
      </c>
      <c r="L14">
        <v>527.25</v>
      </c>
      <c r="M14" t="s">
        <v>115</v>
      </c>
      <c r="N14" t="s">
        <v>146</v>
      </c>
      <c r="O14">
        <f>90</f>
        <v>90</v>
      </c>
      <c r="P14">
        <f>tblROIssues[[#This Row],[LaborHours_Billed]]*tblROIssues[[#This Row],[LaborRate]]</f>
        <v>297</v>
      </c>
      <c r="Q14">
        <f>tblROIssues[[#This Row],[LaborHours_Correct]]*tblROIssues[[#This Row],[LaborRate]]</f>
        <v>153</v>
      </c>
      <c r="R14">
        <f>tblROIssues[[#This Row],[LaborCost_Billed]]-tblROIssues[[#This Row],[LaborCost_Correct]]</f>
        <v>144</v>
      </c>
      <c r="S14" t="str">
        <f>IF(tblROIssues[[#This Row],[CostOvercharge]] &gt; 120, "High",
   IF(tblROIssues[[#This Row],[CostOvercharge]] &gt; 75, "Medium",
   IF(tblROIssues[[#This Row],[CostOvercharge]] &gt; 0, "Low", "None")))</f>
        <v>High</v>
      </c>
    </row>
    <row r="15" spans="1:19" x14ac:dyDescent="0.25">
      <c r="A15">
        <v>7</v>
      </c>
      <c r="B15">
        <v>2343494</v>
      </c>
      <c r="C15" t="s">
        <v>20</v>
      </c>
      <c r="D15" t="s">
        <v>38</v>
      </c>
      <c r="E15" t="s">
        <v>41</v>
      </c>
      <c r="F15" t="s">
        <v>51</v>
      </c>
      <c r="G15" t="s">
        <v>58</v>
      </c>
      <c r="H15" t="s">
        <v>104</v>
      </c>
      <c r="I15">
        <v>2.1</v>
      </c>
      <c r="J15">
        <v>0.5</v>
      </c>
      <c r="K15">
        <v>163.08000000000001</v>
      </c>
      <c r="L15">
        <v>352.08</v>
      </c>
      <c r="M15" t="s">
        <v>115</v>
      </c>
      <c r="N15" t="s">
        <v>183</v>
      </c>
      <c r="O15">
        <f>90</f>
        <v>90</v>
      </c>
      <c r="P15">
        <f>tblROIssues[[#This Row],[LaborHours_Billed]]*tblROIssues[[#This Row],[LaborRate]]</f>
        <v>189</v>
      </c>
      <c r="Q15">
        <f>tblROIssues[[#This Row],[LaborHours_Correct]]*tblROIssues[[#This Row],[LaborRate]]</f>
        <v>45</v>
      </c>
      <c r="R15">
        <f>tblROIssues[[#This Row],[LaborCost_Billed]]-tblROIssues[[#This Row],[LaborCost_Correct]]</f>
        <v>144</v>
      </c>
      <c r="S15" t="str">
        <f>IF(tblROIssues[[#This Row],[CostOvercharge]] &gt; 120, "High",
   IF(tblROIssues[[#This Row],[CostOvercharge]] &gt; 75, "Medium",
   IF(tblROIssues[[#This Row],[CostOvercharge]] &gt; 0, "Low", "None")))</f>
        <v>High</v>
      </c>
    </row>
    <row r="16" spans="1:19" x14ac:dyDescent="0.25">
      <c r="A16">
        <v>7</v>
      </c>
      <c r="B16">
        <v>2343482</v>
      </c>
      <c r="C16" t="s">
        <v>29</v>
      </c>
      <c r="D16" t="s">
        <v>38</v>
      </c>
      <c r="E16" t="s">
        <v>44</v>
      </c>
      <c r="F16" t="s">
        <v>47</v>
      </c>
      <c r="G16" t="s">
        <v>58</v>
      </c>
      <c r="H16" t="s">
        <v>106</v>
      </c>
      <c r="I16">
        <v>4.4000000000000004</v>
      </c>
      <c r="J16">
        <v>2.9</v>
      </c>
      <c r="K16">
        <v>56.1</v>
      </c>
      <c r="L16">
        <v>452.1</v>
      </c>
      <c r="M16" t="s">
        <v>115</v>
      </c>
      <c r="N16" t="s">
        <v>118</v>
      </c>
      <c r="O16">
        <f>90</f>
        <v>90</v>
      </c>
      <c r="P16">
        <f>tblROIssues[[#This Row],[LaborHours_Billed]]*tblROIssues[[#This Row],[LaborRate]]</f>
        <v>396.00000000000006</v>
      </c>
      <c r="Q16">
        <f>tblROIssues[[#This Row],[LaborHours_Correct]]*tblROIssues[[#This Row],[LaborRate]]</f>
        <v>261</v>
      </c>
      <c r="R16">
        <f>tblROIssues[[#This Row],[LaborCost_Billed]]-tblROIssues[[#This Row],[LaborCost_Correct]]</f>
        <v>135.00000000000006</v>
      </c>
      <c r="S16" t="str">
        <f>IF(tblROIssues[[#This Row],[CostOvercharge]] &gt; 120, "High",
   IF(tblROIssues[[#This Row],[CostOvercharge]] &gt; 75, "Medium",
   IF(tblROIssues[[#This Row],[CostOvercharge]] &gt; 0, "Low", "None")))</f>
        <v>High</v>
      </c>
    </row>
    <row r="17" spans="1:19" x14ac:dyDescent="0.25">
      <c r="A17">
        <v>5</v>
      </c>
      <c r="B17">
        <v>2343308</v>
      </c>
      <c r="C17" t="s">
        <v>25</v>
      </c>
      <c r="D17" t="s">
        <v>39</v>
      </c>
      <c r="E17" t="s">
        <v>41</v>
      </c>
      <c r="F17" t="s">
        <v>48</v>
      </c>
      <c r="G17" t="s">
        <v>59</v>
      </c>
      <c r="H17" t="s">
        <v>90</v>
      </c>
      <c r="I17">
        <v>4.3</v>
      </c>
      <c r="J17">
        <v>2.8</v>
      </c>
      <c r="K17">
        <v>111.31</v>
      </c>
      <c r="L17">
        <v>498.31</v>
      </c>
      <c r="M17" t="s">
        <v>115</v>
      </c>
      <c r="N17" t="s">
        <v>119</v>
      </c>
      <c r="O17">
        <f>90</f>
        <v>90</v>
      </c>
      <c r="P17">
        <f>tblROIssues[[#This Row],[LaborHours_Billed]]*tblROIssues[[#This Row],[LaborRate]]</f>
        <v>387</v>
      </c>
      <c r="Q17">
        <f>tblROIssues[[#This Row],[LaborHours_Correct]]*tblROIssues[[#This Row],[LaborRate]]</f>
        <v>251.99999999999997</v>
      </c>
      <c r="R17">
        <f>tblROIssues[[#This Row],[LaborCost_Billed]]-tblROIssues[[#This Row],[LaborCost_Correct]]</f>
        <v>135.00000000000003</v>
      </c>
      <c r="S17" t="str">
        <f>IF(tblROIssues[[#This Row],[CostOvercharge]] &gt; 120, "High",
   IF(tblROIssues[[#This Row],[CostOvercharge]] &gt; 75, "Medium",
   IF(tblROIssues[[#This Row],[CostOvercharge]] &gt; 0, "Low", "None")))</f>
        <v>High</v>
      </c>
    </row>
    <row r="18" spans="1:19" x14ac:dyDescent="0.25">
      <c r="A18">
        <v>1</v>
      </c>
      <c r="B18">
        <v>2343072</v>
      </c>
      <c r="C18" t="s">
        <v>21</v>
      </c>
      <c r="D18" t="s">
        <v>40</v>
      </c>
      <c r="E18" t="s">
        <v>43</v>
      </c>
      <c r="F18" t="s">
        <v>49</v>
      </c>
      <c r="G18" t="s">
        <v>59</v>
      </c>
      <c r="H18" t="s">
        <v>65</v>
      </c>
      <c r="I18">
        <v>2.1</v>
      </c>
      <c r="J18">
        <v>0.6</v>
      </c>
      <c r="K18">
        <v>387.33</v>
      </c>
      <c r="L18">
        <v>576.33000000000004</v>
      </c>
      <c r="M18" t="s">
        <v>116</v>
      </c>
      <c r="N18" t="s">
        <v>123</v>
      </c>
      <c r="O18">
        <f>90</f>
        <v>90</v>
      </c>
      <c r="P18">
        <f>tblROIssues[[#This Row],[LaborHours_Billed]]*tblROIssues[[#This Row],[LaborRate]]</f>
        <v>189</v>
      </c>
      <c r="Q18">
        <f>tblROIssues[[#This Row],[LaborHours_Correct]]*tblROIssues[[#This Row],[LaborRate]]</f>
        <v>54</v>
      </c>
      <c r="R18">
        <f>tblROIssues[[#This Row],[LaborCost_Billed]]-tblROIssues[[#This Row],[LaborCost_Correct]]</f>
        <v>135</v>
      </c>
      <c r="S18" t="str">
        <f>IF(tblROIssues[[#This Row],[CostOvercharge]] &gt; 120, "High",
   IF(tblROIssues[[#This Row],[CostOvercharge]] &gt; 75, "Medium",
   IF(tblROIssues[[#This Row],[CostOvercharge]] &gt; 0, "Low", "None")))</f>
        <v>High</v>
      </c>
    </row>
    <row r="19" spans="1:19" x14ac:dyDescent="0.25">
      <c r="A19">
        <v>2</v>
      </c>
      <c r="B19">
        <v>2343112</v>
      </c>
      <c r="C19" t="s">
        <v>32</v>
      </c>
      <c r="D19" t="s">
        <v>37</v>
      </c>
      <c r="E19" t="s">
        <v>41</v>
      </c>
      <c r="F19" t="s">
        <v>55</v>
      </c>
      <c r="G19" t="s">
        <v>59</v>
      </c>
      <c r="H19" t="s">
        <v>72</v>
      </c>
      <c r="I19">
        <v>3.1</v>
      </c>
      <c r="J19">
        <v>1.6</v>
      </c>
      <c r="K19">
        <v>249.84</v>
      </c>
      <c r="L19">
        <v>528.84</v>
      </c>
      <c r="M19" t="s">
        <v>115</v>
      </c>
      <c r="N19" t="s">
        <v>140</v>
      </c>
      <c r="O19">
        <f>90</f>
        <v>90</v>
      </c>
      <c r="P19">
        <f>tblROIssues[[#This Row],[LaborHours_Billed]]*tblROIssues[[#This Row],[LaborRate]]</f>
        <v>279</v>
      </c>
      <c r="Q19">
        <f>tblROIssues[[#This Row],[LaborHours_Correct]]*tblROIssues[[#This Row],[LaborRate]]</f>
        <v>144</v>
      </c>
      <c r="R19">
        <f>tblROIssues[[#This Row],[LaborCost_Billed]]-tblROIssues[[#This Row],[LaborCost_Correct]]</f>
        <v>135</v>
      </c>
      <c r="S19" t="str">
        <f>IF(tblROIssues[[#This Row],[CostOvercharge]] &gt; 120, "High",
   IF(tblROIssues[[#This Row],[CostOvercharge]] &gt; 75, "Medium",
   IF(tblROIssues[[#This Row],[CostOvercharge]] &gt; 0, "Low", "None")))</f>
        <v>High</v>
      </c>
    </row>
    <row r="20" spans="1:19" x14ac:dyDescent="0.25">
      <c r="A20">
        <v>3</v>
      </c>
      <c r="B20">
        <v>2343204</v>
      </c>
      <c r="C20" t="s">
        <v>33</v>
      </c>
      <c r="D20" t="s">
        <v>39</v>
      </c>
      <c r="E20" t="s">
        <v>43</v>
      </c>
      <c r="F20" t="s">
        <v>54</v>
      </c>
      <c r="G20" t="s">
        <v>59</v>
      </c>
      <c r="H20" t="s">
        <v>77</v>
      </c>
      <c r="I20">
        <v>2.4</v>
      </c>
      <c r="J20">
        <v>0.9</v>
      </c>
      <c r="K20">
        <v>296.41000000000003</v>
      </c>
      <c r="L20">
        <v>512.41</v>
      </c>
      <c r="M20" t="s">
        <v>115</v>
      </c>
      <c r="N20" t="s">
        <v>155</v>
      </c>
      <c r="O20">
        <f>90</f>
        <v>90</v>
      </c>
      <c r="P20">
        <f>tblROIssues[[#This Row],[LaborHours_Billed]]*tblROIssues[[#This Row],[LaborRate]]</f>
        <v>216</v>
      </c>
      <c r="Q20">
        <f>tblROIssues[[#This Row],[LaborHours_Correct]]*tblROIssues[[#This Row],[LaborRate]]</f>
        <v>81</v>
      </c>
      <c r="R20">
        <f>tblROIssues[[#This Row],[LaborCost_Billed]]-tblROIssues[[#This Row],[LaborCost_Correct]]</f>
        <v>135</v>
      </c>
      <c r="S20" t="str">
        <f>IF(tblROIssues[[#This Row],[CostOvercharge]] &gt; 120, "High",
   IF(tblROIssues[[#This Row],[CostOvercharge]] &gt; 75, "Medium",
   IF(tblROIssues[[#This Row],[CostOvercharge]] &gt; 0, "Low", "None")))</f>
        <v>High</v>
      </c>
    </row>
    <row r="21" spans="1:19" x14ac:dyDescent="0.25">
      <c r="A21">
        <v>5</v>
      </c>
      <c r="B21">
        <v>2343318</v>
      </c>
      <c r="C21" t="s">
        <v>35</v>
      </c>
      <c r="D21" t="s">
        <v>40</v>
      </c>
      <c r="E21" t="s">
        <v>44</v>
      </c>
      <c r="F21" t="s">
        <v>56</v>
      </c>
      <c r="G21" t="s">
        <v>59</v>
      </c>
      <c r="H21" t="s">
        <v>93</v>
      </c>
      <c r="I21">
        <v>2.5</v>
      </c>
      <c r="J21">
        <v>1</v>
      </c>
      <c r="K21">
        <v>248.36</v>
      </c>
      <c r="L21">
        <v>473.36</v>
      </c>
      <c r="M21" t="s">
        <v>116</v>
      </c>
      <c r="N21" t="s">
        <v>133</v>
      </c>
      <c r="O21">
        <f>90</f>
        <v>90</v>
      </c>
      <c r="P21">
        <f>tblROIssues[[#This Row],[LaborHours_Billed]]*tblROIssues[[#This Row],[LaborRate]]</f>
        <v>225</v>
      </c>
      <c r="Q21">
        <f>tblROIssues[[#This Row],[LaborHours_Correct]]*tblROIssues[[#This Row],[LaborRate]]</f>
        <v>90</v>
      </c>
      <c r="R21">
        <f>tblROIssues[[#This Row],[LaborCost_Billed]]-tblROIssues[[#This Row],[LaborCost_Correct]]</f>
        <v>135</v>
      </c>
      <c r="S21" t="str">
        <f>IF(tblROIssues[[#This Row],[CostOvercharge]] &gt; 120, "High",
   IF(tblROIssues[[#This Row],[CostOvercharge]] &gt; 75, "Medium",
   IF(tblROIssues[[#This Row],[CostOvercharge]] &gt; 0, "Low", "None")))</f>
        <v>High</v>
      </c>
    </row>
    <row r="22" spans="1:19" x14ac:dyDescent="0.25">
      <c r="A22">
        <v>6</v>
      </c>
      <c r="B22">
        <v>2343385</v>
      </c>
      <c r="C22" t="s">
        <v>28</v>
      </c>
      <c r="D22" t="s">
        <v>38</v>
      </c>
      <c r="E22" t="s">
        <v>45</v>
      </c>
      <c r="F22" t="s">
        <v>49</v>
      </c>
      <c r="G22" t="s">
        <v>58</v>
      </c>
      <c r="H22" t="s">
        <v>99</v>
      </c>
      <c r="I22">
        <v>1.8</v>
      </c>
      <c r="J22">
        <v>0.3</v>
      </c>
      <c r="K22">
        <v>272.60000000000002</v>
      </c>
      <c r="L22">
        <v>434.6</v>
      </c>
      <c r="M22" t="s">
        <v>115</v>
      </c>
      <c r="N22" t="s">
        <v>174</v>
      </c>
      <c r="O22">
        <f>90</f>
        <v>90</v>
      </c>
      <c r="P22">
        <f>tblROIssues[[#This Row],[LaborHours_Billed]]*tblROIssues[[#This Row],[LaborRate]]</f>
        <v>162</v>
      </c>
      <c r="Q22">
        <f>tblROIssues[[#This Row],[LaborHours_Correct]]*tblROIssues[[#This Row],[LaborRate]]</f>
        <v>27</v>
      </c>
      <c r="R22">
        <f>tblROIssues[[#This Row],[LaborCost_Billed]]-tblROIssues[[#This Row],[LaborCost_Correct]]</f>
        <v>135</v>
      </c>
      <c r="S22" t="str">
        <f>IF(tblROIssues[[#This Row],[CostOvercharge]] &gt; 120, "High",
   IF(tblROIssues[[#This Row],[CostOvercharge]] &gt; 75, "Medium",
   IF(tblROIssues[[#This Row],[CostOvercharge]] &gt; 0, "Low", "None")))</f>
        <v>High</v>
      </c>
    </row>
    <row r="23" spans="1:19" x14ac:dyDescent="0.25">
      <c r="A23">
        <v>8</v>
      </c>
      <c r="B23">
        <v>2343528</v>
      </c>
      <c r="C23" t="s">
        <v>19</v>
      </c>
      <c r="D23" t="s">
        <v>40</v>
      </c>
      <c r="E23" t="s">
        <v>43</v>
      </c>
      <c r="F23" t="s">
        <v>49</v>
      </c>
      <c r="G23" t="s">
        <v>58</v>
      </c>
      <c r="H23" t="s">
        <v>109</v>
      </c>
      <c r="I23">
        <v>3.3</v>
      </c>
      <c r="J23">
        <v>1.8</v>
      </c>
      <c r="K23">
        <v>373.6</v>
      </c>
      <c r="L23">
        <v>670.6</v>
      </c>
      <c r="M23" t="s">
        <v>116</v>
      </c>
      <c r="N23" t="s">
        <v>123</v>
      </c>
      <c r="O23">
        <f>90</f>
        <v>90</v>
      </c>
      <c r="P23">
        <f>tblROIssues[[#This Row],[LaborHours_Billed]]*tblROIssues[[#This Row],[LaborRate]]</f>
        <v>297</v>
      </c>
      <c r="Q23">
        <f>tblROIssues[[#This Row],[LaborHours_Correct]]*tblROIssues[[#This Row],[LaborRate]]</f>
        <v>162</v>
      </c>
      <c r="R23">
        <f>tblROIssues[[#This Row],[LaborCost_Billed]]-tblROIssues[[#This Row],[LaborCost_Correct]]</f>
        <v>135</v>
      </c>
      <c r="S23" t="str">
        <f>IF(tblROIssues[[#This Row],[CostOvercharge]] &gt; 120, "High",
   IF(tblROIssues[[#This Row],[CostOvercharge]] &gt; 75, "Medium",
   IF(tblROIssues[[#This Row],[CostOvercharge]] &gt; 0, "Low", "None")))</f>
        <v>High</v>
      </c>
    </row>
    <row r="24" spans="1:19" x14ac:dyDescent="0.25">
      <c r="A24">
        <v>8</v>
      </c>
      <c r="B24">
        <v>2343538</v>
      </c>
      <c r="C24" t="s">
        <v>18</v>
      </c>
      <c r="D24" t="s">
        <v>39</v>
      </c>
      <c r="E24" t="s">
        <v>41</v>
      </c>
      <c r="F24" t="s">
        <v>56</v>
      </c>
      <c r="G24" t="s">
        <v>58</v>
      </c>
      <c r="H24" t="s">
        <v>110</v>
      </c>
      <c r="I24">
        <v>4</v>
      </c>
      <c r="J24">
        <v>2.5</v>
      </c>
      <c r="K24">
        <v>153.82</v>
      </c>
      <c r="L24">
        <v>513.82000000000005</v>
      </c>
      <c r="M24" t="s">
        <v>115</v>
      </c>
      <c r="N24" t="s">
        <v>169</v>
      </c>
      <c r="O24">
        <f>90</f>
        <v>90</v>
      </c>
      <c r="P24">
        <f>tblROIssues[[#This Row],[LaborHours_Billed]]*tblROIssues[[#This Row],[LaborRate]]</f>
        <v>360</v>
      </c>
      <c r="Q24">
        <f>tblROIssues[[#This Row],[LaborHours_Correct]]*tblROIssues[[#This Row],[LaborRate]]</f>
        <v>225</v>
      </c>
      <c r="R24">
        <f>tblROIssues[[#This Row],[LaborCost_Billed]]-tblROIssues[[#This Row],[LaborCost_Correct]]</f>
        <v>135</v>
      </c>
      <c r="S24" t="str">
        <f>IF(tblROIssues[[#This Row],[CostOvercharge]] &gt; 120, "High",
   IF(tblROIssues[[#This Row],[CostOvercharge]] &gt; 75, "Medium",
   IF(tblROIssues[[#This Row],[CostOvercharge]] &gt; 0, "Low", "None")))</f>
        <v>High</v>
      </c>
    </row>
    <row r="25" spans="1:19" x14ac:dyDescent="0.25">
      <c r="A25">
        <v>3</v>
      </c>
      <c r="B25">
        <v>2343158</v>
      </c>
      <c r="C25" t="s">
        <v>33</v>
      </c>
      <c r="D25" t="s">
        <v>37</v>
      </c>
      <c r="E25" t="s">
        <v>43</v>
      </c>
      <c r="F25" t="s">
        <v>50</v>
      </c>
      <c r="G25" t="s">
        <v>58</v>
      </c>
      <c r="H25" t="s">
        <v>74</v>
      </c>
      <c r="I25">
        <v>3.7</v>
      </c>
      <c r="J25">
        <v>2.2000000000000002</v>
      </c>
      <c r="K25">
        <v>390.18</v>
      </c>
      <c r="L25">
        <v>723.18</v>
      </c>
      <c r="M25" t="s">
        <v>116</v>
      </c>
      <c r="N25" t="s">
        <v>149</v>
      </c>
      <c r="O25">
        <f>90</f>
        <v>90</v>
      </c>
      <c r="P25">
        <f>tblROIssues[[#This Row],[LaborHours_Billed]]*tblROIssues[[#This Row],[LaborRate]]</f>
        <v>333</v>
      </c>
      <c r="Q25">
        <f>tblROIssues[[#This Row],[LaborHours_Correct]]*tblROIssues[[#This Row],[LaborRate]]</f>
        <v>198.00000000000003</v>
      </c>
      <c r="R25">
        <f>tblROIssues[[#This Row],[LaborCost_Billed]]-tblROIssues[[#This Row],[LaborCost_Correct]]</f>
        <v>134.99999999999997</v>
      </c>
      <c r="S25" t="str">
        <f>IF(tblROIssues[[#This Row],[CostOvercharge]] &gt; 120, "High",
   IF(tblROIssues[[#This Row],[CostOvercharge]] &gt; 75, "Medium",
   IF(tblROIssues[[#This Row],[CostOvercharge]] &gt; 0, "Low", "None")))</f>
        <v>High</v>
      </c>
    </row>
    <row r="26" spans="1:19" x14ac:dyDescent="0.25">
      <c r="A26">
        <v>4</v>
      </c>
      <c r="B26">
        <v>2343236</v>
      </c>
      <c r="C26" t="s">
        <v>16</v>
      </c>
      <c r="D26" t="s">
        <v>37</v>
      </c>
      <c r="E26" t="s">
        <v>45</v>
      </c>
      <c r="F26" t="s">
        <v>55</v>
      </c>
      <c r="G26" t="s">
        <v>58</v>
      </c>
      <c r="H26" t="s">
        <v>82</v>
      </c>
      <c r="I26">
        <v>4.2</v>
      </c>
      <c r="J26">
        <v>2.7</v>
      </c>
      <c r="K26">
        <v>193.05</v>
      </c>
      <c r="L26">
        <v>571.04999999999995</v>
      </c>
      <c r="M26" t="s">
        <v>115</v>
      </c>
      <c r="N26" t="s">
        <v>140</v>
      </c>
      <c r="O26">
        <f>90</f>
        <v>90</v>
      </c>
      <c r="P26">
        <f>tblROIssues[[#This Row],[LaborHours_Billed]]*tblROIssues[[#This Row],[LaborRate]]</f>
        <v>378</v>
      </c>
      <c r="Q26">
        <f>tblROIssues[[#This Row],[LaborHours_Correct]]*tblROIssues[[#This Row],[LaborRate]]</f>
        <v>243.00000000000003</v>
      </c>
      <c r="R26">
        <f>tblROIssues[[#This Row],[LaborCost_Billed]]-tblROIssues[[#This Row],[LaborCost_Correct]]</f>
        <v>134.99999999999997</v>
      </c>
      <c r="S26" t="str">
        <f>IF(tblROIssues[[#This Row],[CostOvercharge]] &gt; 120, "High",
   IF(tblROIssues[[#This Row],[CostOvercharge]] &gt; 75, "Medium",
   IF(tblROIssues[[#This Row],[CostOvercharge]] &gt; 0, "Low", "None")))</f>
        <v>High</v>
      </c>
    </row>
    <row r="27" spans="1:19" x14ac:dyDescent="0.25">
      <c r="A27">
        <v>6</v>
      </c>
      <c r="B27">
        <v>2343418</v>
      </c>
      <c r="C27" t="s">
        <v>29</v>
      </c>
      <c r="D27" t="s">
        <v>37</v>
      </c>
      <c r="E27" t="s">
        <v>45</v>
      </c>
      <c r="F27" t="s">
        <v>55</v>
      </c>
      <c r="G27" t="s">
        <v>58</v>
      </c>
      <c r="H27" t="s">
        <v>101</v>
      </c>
      <c r="I27">
        <v>4.2</v>
      </c>
      <c r="J27">
        <v>2.7</v>
      </c>
      <c r="K27">
        <v>434.26</v>
      </c>
      <c r="L27">
        <v>812.26</v>
      </c>
      <c r="M27" t="s">
        <v>116</v>
      </c>
      <c r="N27" t="s">
        <v>140</v>
      </c>
      <c r="O27">
        <f>90</f>
        <v>90</v>
      </c>
      <c r="P27">
        <f>tblROIssues[[#This Row],[LaborHours_Billed]]*tblROIssues[[#This Row],[LaborRate]]</f>
        <v>378</v>
      </c>
      <c r="Q27">
        <f>tblROIssues[[#This Row],[LaborHours_Correct]]*tblROIssues[[#This Row],[LaborRate]]</f>
        <v>243.00000000000003</v>
      </c>
      <c r="R27">
        <f>tblROIssues[[#This Row],[LaborCost_Billed]]-tblROIssues[[#This Row],[LaborCost_Correct]]</f>
        <v>134.99999999999997</v>
      </c>
      <c r="S27" t="str">
        <f>IF(tblROIssues[[#This Row],[CostOvercharge]] &gt; 120, "High",
   IF(tblROIssues[[#This Row],[CostOvercharge]] &gt; 75, "Medium",
   IF(tblROIssues[[#This Row],[CostOvercharge]] &gt; 0, "Low", "None")))</f>
        <v>High</v>
      </c>
    </row>
    <row r="28" spans="1:19" x14ac:dyDescent="0.25">
      <c r="A28">
        <v>1</v>
      </c>
      <c r="B28">
        <v>2343030</v>
      </c>
      <c r="C28" t="s">
        <v>20</v>
      </c>
      <c r="D28" t="s">
        <v>37</v>
      </c>
      <c r="E28" t="s">
        <v>43</v>
      </c>
      <c r="F28" t="s">
        <v>53</v>
      </c>
      <c r="G28" t="s">
        <v>58</v>
      </c>
      <c r="H28" t="s">
        <v>65</v>
      </c>
      <c r="I28">
        <v>4.4000000000000004</v>
      </c>
      <c r="J28">
        <v>3</v>
      </c>
      <c r="K28">
        <v>422.77</v>
      </c>
      <c r="L28">
        <v>818.77</v>
      </c>
      <c r="M28" t="s">
        <v>116</v>
      </c>
      <c r="N28" t="s">
        <v>125</v>
      </c>
      <c r="O28">
        <f>90</f>
        <v>90</v>
      </c>
      <c r="P28">
        <f>tblROIssues[[#This Row],[LaborHours_Billed]]*tblROIssues[[#This Row],[LaborRate]]</f>
        <v>396.00000000000006</v>
      </c>
      <c r="Q28">
        <f>tblROIssues[[#This Row],[LaborHours_Correct]]*tblROIssues[[#This Row],[LaborRate]]</f>
        <v>270</v>
      </c>
      <c r="R28">
        <f>tblROIssues[[#This Row],[LaborCost_Billed]]-tblROIssues[[#This Row],[LaborCost_Correct]]</f>
        <v>126.00000000000006</v>
      </c>
      <c r="S28" t="str">
        <f>IF(tblROIssues[[#This Row],[CostOvercharge]] &gt; 120, "High",
   IF(tblROIssues[[#This Row],[CostOvercharge]] &gt; 75, "Medium",
   IF(tblROIssues[[#This Row],[CostOvercharge]] &gt; 0, "Low", "None")))</f>
        <v>High</v>
      </c>
    </row>
    <row r="29" spans="1:19" x14ac:dyDescent="0.25">
      <c r="A29">
        <v>7</v>
      </c>
      <c r="B29">
        <v>2343454</v>
      </c>
      <c r="C29" t="s">
        <v>19</v>
      </c>
      <c r="D29" t="s">
        <v>38</v>
      </c>
      <c r="E29" t="s">
        <v>43</v>
      </c>
      <c r="F29" t="s">
        <v>50</v>
      </c>
      <c r="G29" t="s">
        <v>58</v>
      </c>
      <c r="H29" t="s">
        <v>104</v>
      </c>
      <c r="I29">
        <v>2.7</v>
      </c>
      <c r="J29">
        <v>1.3</v>
      </c>
      <c r="K29">
        <v>394.54</v>
      </c>
      <c r="L29">
        <v>637.54</v>
      </c>
      <c r="M29" t="s">
        <v>115</v>
      </c>
      <c r="N29" t="s">
        <v>130</v>
      </c>
      <c r="O29">
        <f>90</f>
        <v>90</v>
      </c>
      <c r="P29">
        <f>tblROIssues[[#This Row],[LaborHours_Billed]]*tblROIssues[[#This Row],[LaborRate]]</f>
        <v>243.00000000000003</v>
      </c>
      <c r="Q29">
        <f>tblROIssues[[#This Row],[LaborHours_Correct]]*tblROIssues[[#This Row],[LaborRate]]</f>
        <v>117</v>
      </c>
      <c r="R29">
        <f>tblROIssues[[#This Row],[LaborCost_Billed]]-tblROIssues[[#This Row],[LaborCost_Correct]]</f>
        <v>126.00000000000003</v>
      </c>
      <c r="S29" t="str">
        <f>IF(tblROIssues[[#This Row],[CostOvercharge]] &gt; 120, "High",
   IF(tblROIssues[[#This Row],[CostOvercharge]] &gt; 75, "Medium",
   IF(tblROIssues[[#This Row],[CostOvercharge]] &gt; 0, "Low", "None")))</f>
        <v>High</v>
      </c>
    </row>
    <row r="30" spans="1:19" x14ac:dyDescent="0.25">
      <c r="A30">
        <v>1</v>
      </c>
      <c r="B30">
        <v>2343041</v>
      </c>
      <c r="C30" t="s">
        <v>23</v>
      </c>
      <c r="D30" t="s">
        <v>37</v>
      </c>
      <c r="E30" t="s">
        <v>43</v>
      </c>
      <c r="F30" t="s">
        <v>49</v>
      </c>
      <c r="G30" t="s">
        <v>58</v>
      </c>
      <c r="H30" t="s">
        <v>66</v>
      </c>
      <c r="I30">
        <v>3.4</v>
      </c>
      <c r="J30">
        <v>2</v>
      </c>
      <c r="K30">
        <v>33.32</v>
      </c>
      <c r="L30">
        <v>339.32</v>
      </c>
      <c r="M30" t="s">
        <v>115</v>
      </c>
      <c r="N30" t="s">
        <v>120</v>
      </c>
      <c r="O30">
        <f>90</f>
        <v>90</v>
      </c>
      <c r="P30">
        <f>tblROIssues[[#This Row],[LaborHours_Billed]]*tblROIssues[[#This Row],[LaborRate]]</f>
        <v>306</v>
      </c>
      <c r="Q30">
        <f>tblROIssues[[#This Row],[LaborHours_Correct]]*tblROIssues[[#This Row],[LaborRate]]</f>
        <v>180</v>
      </c>
      <c r="R30">
        <f>tblROIssues[[#This Row],[LaborCost_Billed]]-tblROIssues[[#This Row],[LaborCost_Correct]]</f>
        <v>126</v>
      </c>
      <c r="S30" t="str">
        <f>IF(tblROIssues[[#This Row],[CostOvercharge]] &gt; 120, "High",
   IF(tblROIssues[[#This Row],[CostOvercharge]] &gt; 75, "Medium",
   IF(tblROIssues[[#This Row],[CostOvercharge]] &gt; 0, "Low", "None")))</f>
        <v>High</v>
      </c>
    </row>
    <row r="31" spans="1:19" x14ac:dyDescent="0.25">
      <c r="A31">
        <v>1</v>
      </c>
      <c r="B31">
        <v>2343064</v>
      </c>
      <c r="C31" t="s">
        <v>16</v>
      </c>
      <c r="D31" t="s">
        <v>37</v>
      </c>
      <c r="E31" t="s">
        <v>41</v>
      </c>
      <c r="F31" t="s">
        <v>49</v>
      </c>
      <c r="G31" t="s">
        <v>59</v>
      </c>
      <c r="H31" t="s">
        <v>64</v>
      </c>
      <c r="I31">
        <v>4</v>
      </c>
      <c r="J31">
        <v>2.6</v>
      </c>
      <c r="K31">
        <v>83.96</v>
      </c>
      <c r="L31">
        <v>443.96</v>
      </c>
      <c r="M31" t="s">
        <v>115</v>
      </c>
      <c r="N31" t="s">
        <v>120</v>
      </c>
      <c r="O31">
        <f>90</f>
        <v>90</v>
      </c>
      <c r="P31">
        <f>tblROIssues[[#This Row],[LaborHours_Billed]]*tblROIssues[[#This Row],[LaborRate]]</f>
        <v>360</v>
      </c>
      <c r="Q31">
        <f>tblROIssues[[#This Row],[LaborHours_Correct]]*tblROIssues[[#This Row],[LaborRate]]</f>
        <v>234</v>
      </c>
      <c r="R31">
        <f>tblROIssues[[#This Row],[LaborCost_Billed]]-tblROIssues[[#This Row],[LaborCost_Correct]]</f>
        <v>126</v>
      </c>
      <c r="S31" t="str">
        <f>IF(tblROIssues[[#This Row],[CostOvercharge]] &gt; 120, "High",
   IF(tblROIssues[[#This Row],[CostOvercharge]] &gt; 75, "Medium",
   IF(tblROIssues[[#This Row],[CostOvercharge]] &gt; 0, "Low", "None")))</f>
        <v>High</v>
      </c>
    </row>
    <row r="32" spans="1:19" x14ac:dyDescent="0.25">
      <c r="A32">
        <v>3</v>
      </c>
      <c r="B32">
        <v>2343159</v>
      </c>
      <c r="C32" t="s">
        <v>21</v>
      </c>
      <c r="D32" t="s">
        <v>40</v>
      </c>
      <c r="E32" t="s">
        <v>43</v>
      </c>
      <c r="F32" t="s">
        <v>46</v>
      </c>
      <c r="G32" t="s">
        <v>59</v>
      </c>
      <c r="H32" t="s">
        <v>75</v>
      </c>
      <c r="I32">
        <v>2.4</v>
      </c>
      <c r="J32">
        <v>1</v>
      </c>
      <c r="K32">
        <v>292.48</v>
      </c>
      <c r="L32">
        <v>508.48</v>
      </c>
      <c r="M32" t="s">
        <v>116</v>
      </c>
      <c r="N32" t="s">
        <v>144</v>
      </c>
      <c r="O32">
        <f>90</f>
        <v>90</v>
      </c>
      <c r="P32">
        <f>tblROIssues[[#This Row],[LaborHours_Billed]]*tblROIssues[[#This Row],[LaborRate]]</f>
        <v>216</v>
      </c>
      <c r="Q32">
        <f>tblROIssues[[#This Row],[LaborHours_Correct]]*tblROIssues[[#This Row],[LaborRate]]</f>
        <v>90</v>
      </c>
      <c r="R32">
        <f>tblROIssues[[#This Row],[LaborCost_Billed]]-tblROIssues[[#This Row],[LaborCost_Correct]]</f>
        <v>126</v>
      </c>
      <c r="S32" t="str">
        <f>IF(tblROIssues[[#This Row],[CostOvercharge]] &gt; 120, "High",
   IF(tblROIssues[[#This Row],[CostOvercharge]] &gt; 75, "Medium",
   IF(tblROIssues[[#This Row],[CostOvercharge]] &gt; 0, "Low", "None")))</f>
        <v>High</v>
      </c>
    </row>
    <row r="33" spans="1:19" x14ac:dyDescent="0.25">
      <c r="A33">
        <v>3</v>
      </c>
      <c r="B33">
        <v>2343194</v>
      </c>
      <c r="C33" t="s">
        <v>18</v>
      </c>
      <c r="D33" t="s">
        <v>39</v>
      </c>
      <c r="E33" t="s">
        <v>41</v>
      </c>
      <c r="F33" t="s">
        <v>48</v>
      </c>
      <c r="G33" t="s">
        <v>59</v>
      </c>
      <c r="H33" t="s">
        <v>76</v>
      </c>
      <c r="I33">
        <v>1.8</v>
      </c>
      <c r="J33">
        <v>0.4</v>
      </c>
      <c r="K33">
        <v>6.48</v>
      </c>
      <c r="L33">
        <v>168.48</v>
      </c>
      <c r="M33" t="s">
        <v>115</v>
      </c>
      <c r="N33" t="s">
        <v>119</v>
      </c>
      <c r="O33">
        <f>90</f>
        <v>90</v>
      </c>
      <c r="P33">
        <f>tblROIssues[[#This Row],[LaborHours_Billed]]*tblROIssues[[#This Row],[LaborRate]]</f>
        <v>162</v>
      </c>
      <c r="Q33">
        <f>tblROIssues[[#This Row],[LaborHours_Correct]]*tblROIssues[[#This Row],[LaborRate]]</f>
        <v>36</v>
      </c>
      <c r="R33">
        <f>tblROIssues[[#This Row],[LaborCost_Billed]]-tblROIssues[[#This Row],[LaborCost_Correct]]</f>
        <v>126</v>
      </c>
      <c r="S33" t="str">
        <f>IF(tblROIssues[[#This Row],[CostOvercharge]] &gt; 120, "High",
   IF(tblROIssues[[#This Row],[CostOvercharge]] &gt; 75, "Medium",
   IF(tblROIssues[[#This Row],[CostOvercharge]] &gt; 0, "Low", "None")))</f>
        <v>High</v>
      </c>
    </row>
    <row r="34" spans="1:19" x14ac:dyDescent="0.25">
      <c r="A34">
        <v>8</v>
      </c>
      <c r="B34">
        <v>2343580</v>
      </c>
      <c r="C34" t="s">
        <v>29</v>
      </c>
      <c r="D34" t="s">
        <v>38</v>
      </c>
      <c r="E34" t="s">
        <v>43</v>
      </c>
      <c r="F34" t="s">
        <v>56</v>
      </c>
      <c r="G34" t="s">
        <v>59</v>
      </c>
      <c r="H34" t="s">
        <v>109</v>
      </c>
      <c r="I34">
        <v>1.7</v>
      </c>
      <c r="J34">
        <v>0.3</v>
      </c>
      <c r="K34">
        <v>47.97</v>
      </c>
      <c r="L34">
        <v>200.97</v>
      </c>
      <c r="M34" t="s">
        <v>115</v>
      </c>
      <c r="N34" t="s">
        <v>134</v>
      </c>
      <c r="O34">
        <f>90</f>
        <v>90</v>
      </c>
      <c r="P34">
        <f>tblROIssues[[#This Row],[LaborHours_Billed]]*tblROIssues[[#This Row],[LaborRate]]</f>
        <v>153</v>
      </c>
      <c r="Q34">
        <f>tblROIssues[[#This Row],[LaborHours_Correct]]*tblROIssues[[#This Row],[LaborRate]]</f>
        <v>27</v>
      </c>
      <c r="R34">
        <f>tblROIssues[[#This Row],[LaborCost_Billed]]-tblROIssues[[#This Row],[LaborCost_Correct]]</f>
        <v>126</v>
      </c>
      <c r="S34" t="str">
        <f>IF(tblROIssues[[#This Row],[CostOvercharge]] &gt; 120, "High",
   IF(tblROIssues[[#This Row],[CostOvercharge]] &gt; 75, "Medium",
   IF(tblROIssues[[#This Row],[CostOvercharge]] &gt; 0, "Low", "None")))</f>
        <v>High</v>
      </c>
    </row>
    <row r="35" spans="1:19" x14ac:dyDescent="0.25">
      <c r="A35">
        <v>3</v>
      </c>
      <c r="B35">
        <v>2343171</v>
      </c>
      <c r="C35" t="s">
        <v>17</v>
      </c>
      <c r="D35" t="s">
        <v>38</v>
      </c>
      <c r="E35" t="s">
        <v>41</v>
      </c>
      <c r="F35" t="s">
        <v>53</v>
      </c>
      <c r="G35" t="s">
        <v>59</v>
      </c>
      <c r="H35" t="s">
        <v>77</v>
      </c>
      <c r="I35">
        <v>2.5</v>
      </c>
      <c r="J35">
        <v>1.1000000000000001</v>
      </c>
      <c r="K35">
        <v>97.12</v>
      </c>
      <c r="L35">
        <v>322.12</v>
      </c>
      <c r="M35" t="s">
        <v>115</v>
      </c>
      <c r="N35" t="s">
        <v>151</v>
      </c>
      <c r="O35">
        <f>90</f>
        <v>90</v>
      </c>
      <c r="P35">
        <f>tblROIssues[[#This Row],[LaborHours_Billed]]*tblROIssues[[#This Row],[LaborRate]]</f>
        <v>225</v>
      </c>
      <c r="Q35">
        <f>tblROIssues[[#This Row],[LaborHours_Correct]]*tblROIssues[[#This Row],[LaborRate]]</f>
        <v>99.000000000000014</v>
      </c>
      <c r="R35">
        <f>tblROIssues[[#This Row],[LaborCost_Billed]]-tblROIssues[[#This Row],[LaborCost_Correct]]</f>
        <v>125.99999999999999</v>
      </c>
      <c r="S35" t="str">
        <f>IF(tblROIssues[[#This Row],[CostOvercharge]] &gt; 120, "High",
   IF(tblROIssues[[#This Row],[CostOvercharge]] &gt; 75, "Medium",
   IF(tblROIssues[[#This Row],[CostOvercharge]] &gt; 0, "Low", "None")))</f>
        <v>High</v>
      </c>
    </row>
    <row r="36" spans="1:19" x14ac:dyDescent="0.25">
      <c r="A36">
        <v>5</v>
      </c>
      <c r="B36">
        <v>2343328</v>
      </c>
      <c r="C36" t="s">
        <v>25</v>
      </c>
      <c r="D36" t="s">
        <v>37</v>
      </c>
      <c r="E36" t="s">
        <v>41</v>
      </c>
      <c r="F36" t="s">
        <v>47</v>
      </c>
      <c r="G36" t="s">
        <v>58</v>
      </c>
      <c r="H36" t="s">
        <v>94</v>
      </c>
      <c r="I36">
        <v>2.5</v>
      </c>
      <c r="J36">
        <v>1.1000000000000001</v>
      </c>
      <c r="K36">
        <v>178.44</v>
      </c>
      <c r="L36">
        <v>403.44</v>
      </c>
      <c r="M36" t="s">
        <v>115</v>
      </c>
      <c r="N36" t="s">
        <v>146</v>
      </c>
      <c r="O36">
        <f>90</f>
        <v>90</v>
      </c>
      <c r="P36">
        <f>tblROIssues[[#This Row],[LaborHours_Billed]]*tblROIssues[[#This Row],[LaborRate]]</f>
        <v>225</v>
      </c>
      <c r="Q36">
        <f>tblROIssues[[#This Row],[LaborHours_Correct]]*tblROIssues[[#This Row],[LaborRate]]</f>
        <v>99.000000000000014</v>
      </c>
      <c r="R36">
        <f>tblROIssues[[#This Row],[LaborCost_Billed]]-tblROIssues[[#This Row],[LaborCost_Correct]]</f>
        <v>125.99999999999999</v>
      </c>
      <c r="S36" t="str">
        <f>IF(tblROIssues[[#This Row],[CostOvercharge]] &gt; 120, "High",
   IF(tblROIssues[[#This Row],[CostOvercharge]] &gt; 75, "Medium",
   IF(tblROIssues[[#This Row],[CostOvercharge]] &gt; 0, "Low", "None")))</f>
        <v>High</v>
      </c>
    </row>
    <row r="37" spans="1:19" x14ac:dyDescent="0.25">
      <c r="A37">
        <v>4</v>
      </c>
      <c r="B37">
        <v>2343253</v>
      </c>
      <c r="C37" t="s">
        <v>31</v>
      </c>
      <c r="D37" t="s">
        <v>37</v>
      </c>
      <c r="E37" t="s">
        <v>45</v>
      </c>
      <c r="F37" t="s">
        <v>57</v>
      </c>
      <c r="G37" t="s">
        <v>58</v>
      </c>
      <c r="H37" t="s">
        <v>81</v>
      </c>
      <c r="I37">
        <v>3.6</v>
      </c>
      <c r="J37">
        <v>2.2000000000000002</v>
      </c>
      <c r="K37">
        <v>41.04</v>
      </c>
      <c r="L37">
        <v>365.04</v>
      </c>
      <c r="M37" t="s">
        <v>115</v>
      </c>
      <c r="N37" t="s">
        <v>158</v>
      </c>
      <c r="O37">
        <f>90</f>
        <v>90</v>
      </c>
      <c r="P37">
        <f>tblROIssues[[#This Row],[LaborHours_Billed]]*tblROIssues[[#This Row],[LaborRate]]</f>
        <v>324</v>
      </c>
      <c r="Q37">
        <f>tblROIssues[[#This Row],[LaborHours_Correct]]*tblROIssues[[#This Row],[LaborRate]]</f>
        <v>198.00000000000003</v>
      </c>
      <c r="R37">
        <f>tblROIssues[[#This Row],[LaborCost_Billed]]-tblROIssues[[#This Row],[LaborCost_Correct]]</f>
        <v>125.99999999999997</v>
      </c>
      <c r="S37" t="str">
        <f>IF(tblROIssues[[#This Row],[CostOvercharge]] &gt; 120, "High",
   IF(tblROIssues[[#This Row],[CostOvercharge]] &gt; 75, "Medium",
   IF(tblROIssues[[#This Row],[CostOvercharge]] &gt; 0, "Low", "None")))</f>
        <v>High</v>
      </c>
    </row>
    <row r="38" spans="1:19" x14ac:dyDescent="0.25">
      <c r="A38">
        <v>1</v>
      </c>
      <c r="B38">
        <v>2343047</v>
      </c>
      <c r="C38" t="s">
        <v>25</v>
      </c>
      <c r="D38" t="s">
        <v>40</v>
      </c>
      <c r="E38" t="s">
        <v>43</v>
      </c>
      <c r="F38" t="s">
        <v>53</v>
      </c>
      <c r="G38" t="s">
        <v>58</v>
      </c>
      <c r="H38" t="s">
        <v>64</v>
      </c>
      <c r="I38">
        <v>1.7</v>
      </c>
      <c r="J38">
        <v>0.4</v>
      </c>
      <c r="K38">
        <v>286.89999999999998</v>
      </c>
      <c r="L38">
        <v>439.9</v>
      </c>
      <c r="M38" t="s">
        <v>116</v>
      </c>
      <c r="N38" t="s">
        <v>131</v>
      </c>
      <c r="O38">
        <f>90</f>
        <v>90</v>
      </c>
      <c r="P38">
        <f>tblROIssues[[#This Row],[LaborHours_Billed]]*tblROIssues[[#This Row],[LaborRate]]</f>
        <v>153</v>
      </c>
      <c r="Q38">
        <f>tblROIssues[[#This Row],[LaborHours_Correct]]*tblROIssues[[#This Row],[LaborRate]]</f>
        <v>36</v>
      </c>
      <c r="R38">
        <f>tblROIssues[[#This Row],[LaborCost_Billed]]-tblROIssues[[#This Row],[LaborCost_Correct]]</f>
        <v>117</v>
      </c>
      <c r="S38" t="str">
        <f>IF(tblROIssues[[#This Row],[CostOvercharge]] &gt; 120, "High",
   IF(tblROIssues[[#This Row],[CostOvercharge]] &gt; 75, "Medium",
   IF(tblROIssues[[#This Row],[CostOvercharge]] &gt; 0, "Low", "None")))</f>
        <v>Medium</v>
      </c>
    </row>
    <row r="39" spans="1:19" x14ac:dyDescent="0.25">
      <c r="A39">
        <v>2</v>
      </c>
      <c r="B39">
        <v>2343119</v>
      </c>
      <c r="C39" t="s">
        <v>21</v>
      </c>
      <c r="D39" t="s">
        <v>39</v>
      </c>
      <c r="E39" t="s">
        <v>43</v>
      </c>
      <c r="F39" t="s">
        <v>46</v>
      </c>
      <c r="G39" t="s">
        <v>59</v>
      </c>
      <c r="H39" t="s">
        <v>67</v>
      </c>
      <c r="I39">
        <v>1.8</v>
      </c>
      <c r="J39">
        <v>0.5</v>
      </c>
      <c r="K39">
        <v>403.7</v>
      </c>
      <c r="L39">
        <v>565.70000000000005</v>
      </c>
      <c r="M39" t="s">
        <v>115</v>
      </c>
      <c r="N39" t="s">
        <v>141</v>
      </c>
      <c r="O39">
        <f>90</f>
        <v>90</v>
      </c>
      <c r="P39">
        <f>tblROIssues[[#This Row],[LaborHours_Billed]]*tblROIssues[[#This Row],[LaborRate]]</f>
        <v>162</v>
      </c>
      <c r="Q39">
        <f>tblROIssues[[#This Row],[LaborHours_Correct]]*tblROIssues[[#This Row],[LaborRate]]</f>
        <v>45</v>
      </c>
      <c r="R39">
        <f>tblROIssues[[#This Row],[LaborCost_Billed]]-tblROIssues[[#This Row],[LaborCost_Correct]]</f>
        <v>117</v>
      </c>
      <c r="S39" t="str">
        <f>IF(tblROIssues[[#This Row],[CostOvercharge]] &gt; 120, "High",
   IF(tblROIssues[[#This Row],[CostOvercharge]] &gt; 75, "Medium",
   IF(tblROIssues[[#This Row],[CostOvercharge]] &gt; 0, "Low", "None")))</f>
        <v>Medium</v>
      </c>
    </row>
    <row r="40" spans="1:19" x14ac:dyDescent="0.25">
      <c r="A40">
        <v>2</v>
      </c>
      <c r="B40">
        <v>2343155</v>
      </c>
      <c r="C40" t="s">
        <v>20</v>
      </c>
      <c r="D40" t="s">
        <v>40</v>
      </c>
      <c r="E40" t="s">
        <v>44</v>
      </c>
      <c r="F40" t="s">
        <v>50</v>
      </c>
      <c r="G40" t="s">
        <v>59</v>
      </c>
      <c r="H40" t="s">
        <v>70</v>
      </c>
      <c r="I40">
        <v>3.4</v>
      </c>
      <c r="J40">
        <v>2.1</v>
      </c>
      <c r="K40">
        <v>316.12</v>
      </c>
      <c r="L40">
        <v>622.12</v>
      </c>
      <c r="M40" t="s">
        <v>116</v>
      </c>
      <c r="N40" t="s">
        <v>147</v>
      </c>
      <c r="O40">
        <f>90</f>
        <v>90</v>
      </c>
      <c r="P40">
        <f>tblROIssues[[#This Row],[LaborHours_Billed]]*tblROIssues[[#This Row],[LaborRate]]</f>
        <v>306</v>
      </c>
      <c r="Q40">
        <f>tblROIssues[[#This Row],[LaborHours_Correct]]*tblROIssues[[#This Row],[LaborRate]]</f>
        <v>189</v>
      </c>
      <c r="R40">
        <f>tblROIssues[[#This Row],[LaborCost_Billed]]-tblROIssues[[#This Row],[LaborCost_Correct]]</f>
        <v>117</v>
      </c>
      <c r="S40" t="str">
        <f>IF(tblROIssues[[#This Row],[CostOvercharge]] &gt; 120, "High",
   IF(tblROIssues[[#This Row],[CostOvercharge]] &gt; 75, "Medium",
   IF(tblROIssues[[#This Row],[CostOvercharge]] &gt; 0, "Low", "None")))</f>
        <v>Medium</v>
      </c>
    </row>
    <row r="41" spans="1:19" x14ac:dyDescent="0.25">
      <c r="A41">
        <v>3</v>
      </c>
      <c r="B41">
        <v>2343186</v>
      </c>
      <c r="C41" t="s">
        <v>29</v>
      </c>
      <c r="D41" t="s">
        <v>38</v>
      </c>
      <c r="E41" t="s">
        <v>41</v>
      </c>
      <c r="F41" t="s">
        <v>50</v>
      </c>
      <c r="G41" t="s">
        <v>58</v>
      </c>
      <c r="H41" t="s">
        <v>79</v>
      </c>
      <c r="I41">
        <v>2.6</v>
      </c>
      <c r="J41">
        <v>1.3</v>
      </c>
      <c r="K41">
        <v>297.08999999999997</v>
      </c>
      <c r="L41">
        <v>531.09</v>
      </c>
      <c r="M41" t="s">
        <v>115</v>
      </c>
      <c r="N41" t="s">
        <v>130</v>
      </c>
      <c r="O41">
        <f>90</f>
        <v>90</v>
      </c>
      <c r="P41">
        <f>tblROIssues[[#This Row],[LaborHours_Billed]]*tblROIssues[[#This Row],[LaborRate]]</f>
        <v>234</v>
      </c>
      <c r="Q41">
        <f>tblROIssues[[#This Row],[LaborHours_Correct]]*tblROIssues[[#This Row],[LaborRate]]</f>
        <v>117</v>
      </c>
      <c r="R41">
        <f>tblROIssues[[#This Row],[LaborCost_Billed]]-tblROIssues[[#This Row],[LaborCost_Correct]]</f>
        <v>117</v>
      </c>
      <c r="S41" t="str">
        <f>IF(tblROIssues[[#This Row],[CostOvercharge]] &gt; 120, "High",
   IF(tblROIssues[[#This Row],[CostOvercharge]] &gt; 75, "Medium",
   IF(tblROIssues[[#This Row],[CostOvercharge]] &gt; 0, "Low", "None")))</f>
        <v>Medium</v>
      </c>
    </row>
    <row r="42" spans="1:19" x14ac:dyDescent="0.25">
      <c r="A42">
        <v>4</v>
      </c>
      <c r="B42">
        <v>2343221</v>
      </c>
      <c r="C42" t="s">
        <v>28</v>
      </c>
      <c r="D42" t="s">
        <v>40</v>
      </c>
      <c r="E42" t="s">
        <v>41</v>
      </c>
      <c r="F42" t="s">
        <v>46</v>
      </c>
      <c r="G42" t="s">
        <v>58</v>
      </c>
      <c r="H42" t="s">
        <v>82</v>
      </c>
      <c r="I42">
        <v>1.6</v>
      </c>
      <c r="J42">
        <v>0.3</v>
      </c>
      <c r="K42">
        <v>10.47</v>
      </c>
      <c r="L42">
        <v>154.47</v>
      </c>
      <c r="M42" t="s">
        <v>116</v>
      </c>
      <c r="N42" t="s">
        <v>144</v>
      </c>
      <c r="O42">
        <f>90</f>
        <v>90</v>
      </c>
      <c r="P42">
        <f>tblROIssues[[#This Row],[LaborHours_Billed]]*tblROIssues[[#This Row],[LaborRate]]</f>
        <v>144</v>
      </c>
      <c r="Q42">
        <f>tblROIssues[[#This Row],[LaborHours_Correct]]*tblROIssues[[#This Row],[LaborRate]]</f>
        <v>27</v>
      </c>
      <c r="R42">
        <f>tblROIssues[[#This Row],[LaborCost_Billed]]-tblROIssues[[#This Row],[LaborCost_Correct]]</f>
        <v>117</v>
      </c>
      <c r="S42" t="str">
        <f>IF(tblROIssues[[#This Row],[CostOvercharge]] &gt; 120, "High",
   IF(tblROIssues[[#This Row],[CostOvercharge]] &gt; 75, "Medium",
   IF(tblROIssues[[#This Row],[CostOvercharge]] &gt; 0, "Low", "None")))</f>
        <v>Medium</v>
      </c>
    </row>
    <row r="43" spans="1:19" x14ac:dyDescent="0.25">
      <c r="A43">
        <v>4</v>
      </c>
      <c r="B43">
        <v>2343246</v>
      </c>
      <c r="C43" t="s">
        <v>25</v>
      </c>
      <c r="D43" t="s">
        <v>39</v>
      </c>
      <c r="E43" t="s">
        <v>43</v>
      </c>
      <c r="F43" t="s">
        <v>46</v>
      </c>
      <c r="G43" t="s">
        <v>59</v>
      </c>
      <c r="H43" t="s">
        <v>86</v>
      </c>
      <c r="I43">
        <v>1.6</v>
      </c>
      <c r="J43">
        <v>0.3</v>
      </c>
      <c r="K43">
        <v>427.77</v>
      </c>
      <c r="L43">
        <v>571.77</v>
      </c>
      <c r="M43" t="s">
        <v>115</v>
      </c>
      <c r="N43" t="s">
        <v>141</v>
      </c>
      <c r="O43">
        <f>90</f>
        <v>90</v>
      </c>
      <c r="P43">
        <f>tblROIssues[[#This Row],[LaborHours_Billed]]*tblROIssues[[#This Row],[LaborRate]]</f>
        <v>144</v>
      </c>
      <c r="Q43">
        <f>tblROIssues[[#This Row],[LaborHours_Correct]]*tblROIssues[[#This Row],[LaborRate]]</f>
        <v>27</v>
      </c>
      <c r="R43">
        <f>tblROIssues[[#This Row],[LaborCost_Billed]]-tblROIssues[[#This Row],[LaborCost_Correct]]</f>
        <v>117</v>
      </c>
      <c r="S43" t="str">
        <f>IF(tblROIssues[[#This Row],[CostOvercharge]] &gt; 120, "High",
   IF(tblROIssues[[#This Row],[CostOvercharge]] &gt; 75, "Medium",
   IF(tblROIssues[[#This Row],[CostOvercharge]] &gt; 0, "Low", "None")))</f>
        <v>Medium</v>
      </c>
    </row>
    <row r="44" spans="1:19" x14ac:dyDescent="0.25">
      <c r="A44">
        <v>5</v>
      </c>
      <c r="B44">
        <v>2343280</v>
      </c>
      <c r="C44" t="s">
        <v>25</v>
      </c>
      <c r="D44" t="s">
        <v>40</v>
      </c>
      <c r="E44" t="s">
        <v>41</v>
      </c>
      <c r="F44" t="s">
        <v>46</v>
      </c>
      <c r="G44" t="s">
        <v>59</v>
      </c>
      <c r="H44" t="s">
        <v>88</v>
      </c>
      <c r="I44">
        <v>2.9</v>
      </c>
      <c r="J44">
        <v>1.6</v>
      </c>
      <c r="K44">
        <v>204.54</v>
      </c>
      <c r="L44">
        <v>465.54</v>
      </c>
      <c r="M44" t="s">
        <v>116</v>
      </c>
      <c r="N44" t="s">
        <v>144</v>
      </c>
      <c r="O44">
        <f>90</f>
        <v>90</v>
      </c>
      <c r="P44">
        <f>tblROIssues[[#This Row],[LaborHours_Billed]]*tblROIssues[[#This Row],[LaborRate]]</f>
        <v>261</v>
      </c>
      <c r="Q44">
        <f>tblROIssues[[#This Row],[LaborHours_Correct]]*tblROIssues[[#This Row],[LaborRate]]</f>
        <v>144</v>
      </c>
      <c r="R44">
        <f>tblROIssues[[#This Row],[LaborCost_Billed]]-tblROIssues[[#This Row],[LaborCost_Correct]]</f>
        <v>117</v>
      </c>
      <c r="S44" t="str">
        <f>IF(tblROIssues[[#This Row],[CostOvercharge]] &gt; 120, "High",
   IF(tblROIssues[[#This Row],[CostOvercharge]] &gt; 75, "Medium",
   IF(tblROIssues[[#This Row],[CostOvercharge]] &gt; 0, "Low", "None")))</f>
        <v>Medium</v>
      </c>
    </row>
    <row r="45" spans="1:19" x14ac:dyDescent="0.25">
      <c r="A45">
        <v>8</v>
      </c>
      <c r="B45">
        <v>2343570</v>
      </c>
      <c r="C45" t="s">
        <v>16</v>
      </c>
      <c r="D45" t="s">
        <v>37</v>
      </c>
      <c r="E45" t="s">
        <v>45</v>
      </c>
      <c r="F45" t="s">
        <v>50</v>
      </c>
      <c r="G45" t="s">
        <v>59</v>
      </c>
      <c r="H45" t="s">
        <v>109</v>
      </c>
      <c r="I45">
        <v>1.8</v>
      </c>
      <c r="J45">
        <v>0.5</v>
      </c>
      <c r="K45">
        <v>133.69999999999999</v>
      </c>
      <c r="L45">
        <v>295.7</v>
      </c>
      <c r="M45" t="s">
        <v>115</v>
      </c>
      <c r="N45" t="s">
        <v>149</v>
      </c>
      <c r="O45">
        <f>90</f>
        <v>90</v>
      </c>
      <c r="P45">
        <f>tblROIssues[[#This Row],[LaborHours_Billed]]*tblROIssues[[#This Row],[LaborRate]]</f>
        <v>162</v>
      </c>
      <c r="Q45">
        <f>tblROIssues[[#This Row],[LaborHours_Correct]]*tblROIssues[[#This Row],[LaborRate]]</f>
        <v>45</v>
      </c>
      <c r="R45">
        <f>tblROIssues[[#This Row],[LaborCost_Billed]]-tblROIssues[[#This Row],[LaborCost_Correct]]</f>
        <v>117</v>
      </c>
      <c r="S45" t="str">
        <f>IF(tblROIssues[[#This Row],[CostOvercharge]] &gt; 120, "High",
   IF(tblROIssues[[#This Row],[CostOvercharge]] &gt; 75, "Medium",
   IF(tblROIssues[[#This Row],[CostOvercharge]] &gt; 0, "Low", "None")))</f>
        <v>Medium</v>
      </c>
    </row>
    <row r="46" spans="1:19" x14ac:dyDescent="0.25">
      <c r="A46">
        <v>8</v>
      </c>
      <c r="B46">
        <v>2343584</v>
      </c>
      <c r="C46" t="s">
        <v>28</v>
      </c>
      <c r="D46" t="s">
        <v>37</v>
      </c>
      <c r="E46" t="s">
        <v>41</v>
      </c>
      <c r="F46" t="s">
        <v>55</v>
      </c>
      <c r="G46" t="s">
        <v>59</v>
      </c>
      <c r="H46" t="s">
        <v>114</v>
      </c>
      <c r="I46">
        <v>3.7</v>
      </c>
      <c r="J46">
        <v>2.4</v>
      </c>
      <c r="K46">
        <v>122.47</v>
      </c>
      <c r="L46">
        <v>455.47</v>
      </c>
      <c r="M46" t="s">
        <v>115</v>
      </c>
      <c r="N46" t="s">
        <v>140</v>
      </c>
      <c r="O46">
        <f>90</f>
        <v>90</v>
      </c>
      <c r="P46">
        <f>tblROIssues[[#This Row],[LaborHours_Billed]]*tblROIssues[[#This Row],[LaborRate]]</f>
        <v>333</v>
      </c>
      <c r="Q46">
        <f>tblROIssues[[#This Row],[LaborHours_Correct]]*tblROIssues[[#This Row],[LaborRate]]</f>
        <v>216</v>
      </c>
      <c r="R46">
        <f>tblROIssues[[#This Row],[LaborCost_Billed]]-tblROIssues[[#This Row],[LaborCost_Correct]]</f>
        <v>117</v>
      </c>
      <c r="S46" t="str">
        <f>IF(tblROIssues[[#This Row],[CostOvercharge]] &gt; 120, "High",
   IF(tblROIssues[[#This Row],[CostOvercharge]] &gt; 75, "Medium",
   IF(tblROIssues[[#This Row],[CostOvercharge]] &gt; 0, "Low", "None")))</f>
        <v>Medium</v>
      </c>
    </row>
    <row r="47" spans="1:19" x14ac:dyDescent="0.25">
      <c r="A47">
        <v>2</v>
      </c>
      <c r="B47">
        <v>2343124</v>
      </c>
      <c r="C47" t="s">
        <v>14</v>
      </c>
      <c r="D47" t="s">
        <v>38</v>
      </c>
      <c r="E47" t="s">
        <v>44</v>
      </c>
      <c r="F47" t="s">
        <v>52</v>
      </c>
      <c r="G47" t="s">
        <v>58</v>
      </c>
      <c r="H47" t="s">
        <v>69</v>
      </c>
      <c r="I47">
        <v>2.6</v>
      </c>
      <c r="J47">
        <v>1.4</v>
      </c>
      <c r="K47">
        <v>293.38</v>
      </c>
      <c r="L47">
        <v>527.38</v>
      </c>
      <c r="M47" t="s">
        <v>115</v>
      </c>
      <c r="N47" t="s">
        <v>126</v>
      </c>
      <c r="O47">
        <f>90</f>
        <v>90</v>
      </c>
      <c r="P47">
        <f>tblROIssues[[#This Row],[LaborHours_Billed]]*tblROIssues[[#This Row],[LaborRate]]</f>
        <v>234</v>
      </c>
      <c r="Q47">
        <f>tblROIssues[[#This Row],[LaborHours_Correct]]*tblROIssues[[#This Row],[LaborRate]]</f>
        <v>125.99999999999999</v>
      </c>
      <c r="R47">
        <f>tblROIssues[[#This Row],[LaborCost_Billed]]-tblROIssues[[#This Row],[LaborCost_Correct]]</f>
        <v>108.00000000000001</v>
      </c>
      <c r="S47" t="str">
        <f>IF(tblROIssues[[#This Row],[CostOvercharge]] &gt; 120, "High",
   IF(tblROIssues[[#This Row],[CostOvercharge]] &gt; 75, "Medium",
   IF(tblROIssues[[#This Row],[CostOvercharge]] &gt; 0, "Low", "None")))</f>
        <v>Medium</v>
      </c>
    </row>
    <row r="48" spans="1:19" x14ac:dyDescent="0.25">
      <c r="A48">
        <v>3</v>
      </c>
      <c r="B48">
        <v>2343209</v>
      </c>
      <c r="C48" t="s">
        <v>24</v>
      </c>
      <c r="D48" t="s">
        <v>37</v>
      </c>
      <c r="E48" t="s">
        <v>43</v>
      </c>
      <c r="F48" t="s">
        <v>48</v>
      </c>
      <c r="G48" t="s">
        <v>59</v>
      </c>
      <c r="H48" t="s">
        <v>77</v>
      </c>
      <c r="I48">
        <v>1.9</v>
      </c>
      <c r="J48">
        <v>0.7</v>
      </c>
      <c r="K48">
        <v>206.21</v>
      </c>
      <c r="L48">
        <v>377.21</v>
      </c>
      <c r="M48" t="s">
        <v>115</v>
      </c>
      <c r="N48" t="s">
        <v>145</v>
      </c>
      <c r="O48">
        <f>90</f>
        <v>90</v>
      </c>
      <c r="P48">
        <f>tblROIssues[[#This Row],[LaborHours_Billed]]*tblROIssues[[#This Row],[LaborRate]]</f>
        <v>171</v>
      </c>
      <c r="Q48">
        <f>tblROIssues[[#This Row],[LaborHours_Correct]]*tblROIssues[[#This Row],[LaborRate]]</f>
        <v>62.999999999999993</v>
      </c>
      <c r="R48">
        <f>tblROIssues[[#This Row],[LaborCost_Billed]]-tblROIssues[[#This Row],[LaborCost_Correct]]</f>
        <v>108</v>
      </c>
      <c r="S48" t="str">
        <f>IF(tblROIssues[[#This Row],[CostOvercharge]] &gt; 120, "High",
   IF(tblROIssues[[#This Row],[CostOvercharge]] &gt; 75, "Medium",
   IF(tblROIssues[[#This Row],[CostOvercharge]] &gt; 0, "Low", "None")))</f>
        <v>Medium</v>
      </c>
    </row>
    <row r="49" spans="1:19" x14ac:dyDescent="0.25">
      <c r="A49">
        <v>8</v>
      </c>
      <c r="B49">
        <v>2343582</v>
      </c>
      <c r="C49" t="s">
        <v>33</v>
      </c>
      <c r="D49" t="s">
        <v>38</v>
      </c>
      <c r="E49" t="s">
        <v>45</v>
      </c>
      <c r="F49" t="s">
        <v>49</v>
      </c>
      <c r="G49" t="s">
        <v>58</v>
      </c>
      <c r="H49" t="s">
        <v>112</v>
      </c>
      <c r="I49">
        <v>2.4</v>
      </c>
      <c r="J49">
        <v>1.2</v>
      </c>
      <c r="K49">
        <v>195.67</v>
      </c>
      <c r="L49">
        <v>411.67</v>
      </c>
      <c r="M49" t="s">
        <v>115</v>
      </c>
      <c r="N49" t="s">
        <v>189</v>
      </c>
      <c r="O49">
        <f>90</f>
        <v>90</v>
      </c>
      <c r="P49">
        <f>tblROIssues[[#This Row],[LaborHours_Billed]]*tblROIssues[[#This Row],[LaborRate]]</f>
        <v>216</v>
      </c>
      <c r="Q49">
        <f>tblROIssues[[#This Row],[LaborHours_Correct]]*tblROIssues[[#This Row],[LaborRate]]</f>
        <v>108</v>
      </c>
      <c r="R49">
        <f>tblROIssues[[#This Row],[LaborCost_Billed]]-tblROIssues[[#This Row],[LaborCost_Correct]]</f>
        <v>108</v>
      </c>
      <c r="S49" t="str">
        <f>IF(tblROIssues[[#This Row],[CostOvercharge]] &gt; 120, "High",
   IF(tblROIssues[[#This Row],[CostOvercharge]] &gt; 75, "Medium",
   IF(tblROIssues[[#This Row],[CostOvercharge]] &gt; 0, "Low", "None")))</f>
        <v>Medium</v>
      </c>
    </row>
    <row r="50" spans="1:19" x14ac:dyDescent="0.25">
      <c r="A50">
        <v>8</v>
      </c>
      <c r="B50">
        <v>2343561</v>
      </c>
      <c r="C50" t="s">
        <v>17</v>
      </c>
      <c r="D50" t="s">
        <v>38</v>
      </c>
      <c r="E50" t="s">
        <v>41</v>
      </c>
      <c r="F50" t="s">
        <v>54</v>
      </c>
      <c r="G50" t="s">
        <v>59</v>
      </c>
      <c r="H50" t="s">
        <v>110</v>
      </c>
      <c r="I50">
        <v>2.8</v>
      </c>
      <c r="J50">
        <v>1.6</v>
      </c>
      <c r="K50">
        <v>78.92</v>
      </c>
      <c r="L50">
        <v>330.92</v>
      </c>
      <c r="M50" t="s">
        <v>115</v>
      </c>
      <c r="N50" t="s">
        <v>127</v>
      </c>
      <c r="O50">
        <f>90</f>
        <v>90</v>
      </c>
      <c r="P50">
        <f>tblROIssues[[#This Row],[LaborHours_Billed]]*tblROIssues[[#This Row],[LaborRate]]</f>
        <v>251.99999999999997</v>
      </c>
      <c r="Q50">
        <f>tblROIssues[[#This Row],[LaborHours_Correct]]*tblROIssues[[#This Row],[LaborRate]]</f>
        <v>144</v>
      </c>
      <c r="R50">
        <f>tblROIssues[[#This Row],[LaborCost_Billed]]-tblROIssues[[#This Row],[LaborCost_Correct]]</f>
        <v>107.99999999999997</v>
      </c>
      <c r="S50" t="str">
        <f>IF(tblROIssues[[#This Row],[CostOvercharge]] &gt; 120, "High",
   IF(tblROIssues[[#This Row],[CostOvercharge]] &gt; 75, "Medium",
   IF(tblROIssues[[#This Row],[CostOvercharge]] &gt; 0, "Low", "None")))</f>
        <v>Medium</v>
      </c>
    </row>
    <row r="51" spans="1:19" x14ac:dyDescent="0.25">
      <c r="A51">
        <v>6</v>
      </c>
      <c r="B51">
        <v>2343345</v>
      </c>
      <c r="C51" t="s">
        <v>36</v>
      </c>
      <c r="D51" t="s">
        <v>39</v>
      </c>
      <c r="E51" t="s">
        <v>43</v>
      </c>
      <c r="F51" t="s">
        <v>49</v>
      </c>
      <c r="G51" t="s">
        <v>59</v>
      </c>
      <c r="H51" t="s">
        <v>95</v>
      </c>
      <c r="I51">
        <v>2.2999999999999998</v>
      </c>
      <c r="J51">
        <v>1.1000000000000001</v>
      </c>
      <c r="K51">
        <v>77.540000000000006</v>
      </c>
      <c r="L51">
        <v>284.54000000000002</v>
      </c>
      <c r="M51" t="s">
        <v>115</v>
      </c>
      <c r="N51" t="s">
        <v>137</v>
      </c>
      <c r="O51">
        <f>90</f>
        <v>90</v>
      </c>
      <c r="P51">
        <f>tblROIssues[[#This Row],[LaborHours_Billed]]*tblROIssues[[#This Row],[LaborRate]]</f>
        <v>206.99999999999997</v>
      </c>
      <c r="Q51">
        <f>tblROIssues[[#This Row],[LaborHours_Correct]]*tblROIssues[[#This Row],[LaborRate]]</f>
        <v>99.000000000000014</v>
      </c>
      <c r="R51">
        <f>tblROIssues[[#This Row],[LaborCost_Billed]]-tblROIssues[[#This Row],[LaborCost_Correct]]</f>
        <v>107.99999999999996</v>
      </c>
      <c r="S51" t="str">
        <f>IF(tblROIssues[[#This Row],[CostOvercharge]] &gt; 120, "High",
   IF(tblROIssues[[#This Row],[CostOvercharge]] &gt; 75, "Medium",
   IF(tblROIssues[[#This Row],[CostOvercharge]] &gt; 0, "Low", "None")))</f>
        <v>Medium</v>
      </c>
    </row>
    <row r="52" spans="1:19" x14ac:dyDescent="0.25">
      <c r="A52">
        <v>1</v>
      </c>
      <c r="B52">
        <v>2343046</v>
      </c>
      <c r="C52" t="s">
        <v>24</v>
      </c>
      <c r="D52" t="s">
        <v>38</v>
      </c>
      <c r="E52" t="s">
        <v>44</v>
      </c>
      <c r="F52" t="s">
        <v>50</v>
      </c>
      <c r="G52" t="s">
        <v>58</v>
      </c>
      <c r="H52" t="s">
        <v>60</v>
      </c>
      <c r="I52">
        <v>3.9</v>
      </c>
      <c r="J52">
        <v>2.8</v>
      </c>
      <c r="K52">
        <v>148.9</v>
      </c>
      <c r="L52">
        <v>499.9</v>
      </c>
      <c r="M52" t="s">
        <v>115</v>
      </c>
      <c r="N52" t="s">
        <v>130</v>
      </c>
      <c r="O52">
        <f>90</f>
        <v>90</v>
      </c>
      <c r="P52">
        <f>tblROIssues[[#This Row],[LaborHours_Billed]]*tblROIssues[[#This Row],[LaborRate]]</f>
        <v>351</v>
      </c>
      <c r="Q52">
        <f>tblROIssues[[#This Row],[LaborHours_Correct]]*tblROIssues[[#This Row],[LaborRate]]</f>
        <v>251.99999999999997</v>
      </c>
      <c r="R52">
        <f>tblROIssues[[#This Row],[LaborCost_Billed]]-tblROIssues[[#This Row],[LaborCost_Correct]]</f>
        <v>99.000000000000028</v>
      </c>
      <c r="S52" t="str">
        <f>IF(tblROIssues[[#This Row],[CostOvercharge]] &gt; 120, "High",
   IF(tblROIssues[[#This Row],[CostOvercharge]] &gt; 75, "Medium",
   IF(tblROIssues[[#This Row],[CostOvercharge]] &gt; 0, "Low", "None")))</f>
        <v>Medium</v>
      </c>
    </row>
    <row r="53" spans="1:19" x14ac:dyDescent="0.25">
      <c r="A53">
        <v>5</v>
      </c>
      <c r="B53">
        <v>2343285</v>
      </c>
      <c r="C53" t="s">
        <v>18</v>
      </c>
      <c r="D53" t="s">
        <v>38</v>
      </c>
      <c r="E53" t="s">
        <v>45</v>
      </c>
      <c r="F53" t="s">
        <v>46</v>
      </c>
      <c r="G53" t="s">
        <v>59</v>
      </c>
      <c r="H53" t="s">
        <v>90</v>
      </c>
      <c r="I53">
        <v>2.2000000000000002</v>
      </c>
      <c r="J53">
        <v>1.1000000000000001</v>
      </c>
      <c r="K53">
        <v>124.82</v>
      </c>
      <c r="L53">
        <v>322.82</v>
      </c>
      <c r="M53" t="s">
        <v>115</v>
      </c>
      <c r="N53" t="s">
        <v>162</v>
      </c>
      <c r="O53">
        <f>90</f>
        <v>90</v>
      </c>
      <c r="P53">
        <f>tblROIssues[[#This Row],[LaborHours_Billed]]*tblROIssues[[#This Row],[LaborRate]]</f>
        <v>198.00000000000003</v>
      </c>
      <c r="Q53">
        <f>tblROIssues[[#This Row],[LaborHours_Correct]]*tblROIssues[[#This Row],[LaborRate]]</f>
        <v>99.000000000000014</v>
      </c>
      <c r="R53">
        <f>tblROIssues[[#This Row],[LaborCost_Billed]]-tblROIssues[[#This Row],[LaborCost_Correct]]</f>
        <v>99.000000000000014</v>
      </c>
      <c r="S53" t="str">
        <f>IF(tblROIssues[[#This Row],[CostOvercharge]] &gt; 120, "High",
   IF(tblROIssues[[#This Row],[CostOvercharge]] &gt; 75, "Medium",
   IF(tblROIssues[[#This Row],[CostOvercharge]] &gt; 0, "Low", "None")))</f>
        <v>Medium</v>
      </c>
    </row>
    <row r="54" spans="1:19" x14ac:dyDescent="0.25">
      <c r="A54">
        <v>7</v>
      </c>
      <c r="B54">
        <v>2343486</v>
      </c>
      <c r="C54" t="s">
        <v>20</v>
      </c>
      <c r="D54" t="s">
        <v>40</v>
      </c>
      <c r="E54" t="s">
        <v>41</v>
      </c>
      <c r="F54" t="s">
        <v>54</v>
      </c>
      <c r="G54" t="s">
        <v>59</v>
      </c>
      <c r="H54" t="s">
        <v>103</v>
      </c>
      <c r="I54">
        <v>2.5</v>
      </c>
      <c r="J54">
        <v>1.4</v>
      </c>
      <c r="K54">
        <v>179.55</v>
      </c>
      <c r="L54">
        <v>404.55</v>
      </c>
      <c r="M54" t="s">
        <v>116</v>
      </c>
      <c r="N54" t="s">
        <v>157</v>
      </c>
      <c r="O54">
        <f>90</f>
        <v>90</v>
      </c>
      <c r="P54">
        <f>tblROIssues[[#This Row],[LaborHours_Billed]]*tblROIssues[[#This Row],[LaborRate]]</f>
        <v>225</v>
      </c>
      <c r="Q54">
        <f>tblROIssues[[#This Row],[LaborHours_Correct]]*tblROIssues[[#This Row],[LaborRate]]</f>
        <v>125.99999999999999</v>
      </c>
      <c r="R54">
        <f>tblROIssues[[#This Row],[LaborCost_Billed]]-tblROIssues[[#This Row],[LaborCost_Correct]]</f>
        <v>99.000000000000014</v>
      </c>
      <c r="S54" t="str">
        <f>IF(tblROIssues[[#This Row],[CostOvercharge]] &gt; 120, "High",
   IF(tblROIssues[[#This Row],[CostOvercharge]] &gt; 75, "Medium",
   IF(tblROIssues[[#This Row],[CostOvercharge]] &gt; 0, "Low", "None")))</f>
        <v>Medium</v>
      </c>
    </row>
    <row r="55" spans="1:19" x14ac:dyDescent="0.25">
      <c r="A55">
        <v>2</v>
      </c>
      <c r="B55">
        <v>2343092</v>
      </c>
      <c r="C55" t="s">
        <v>24</v>
      </c>
      <c r="D55" t="s">
        <v>39</v>
      </c>
      <c r="E55" t="s">
        <v>41</v>
      </c>
      <c r="F55" t="s">
        <v>49</v>
      </c>
      <c r="G55" t="s">
        <v>59</v>
      </c>
      <c r="H55" t="s">
        <v>70</v>
      </c>
      <c r="I55">
        <v>1.8</v>
      </c>
      <c r="J55">
        <v>0.7</v>
      </c>
      <c r="K55">
        <v>285.08999999999997</v>
      </c>
      <c r="L55">
        <v>447.09</v>
      </c>
      <c r="M55" t="s">
        <v>115</v>
      </c>
      <c r="N55" t="s">
        <v>137</v>
      </c>
      <c r="O55">
        <f>90</f>
        <v>90</v>
      </c>
      <c r="P55">
        <f>tblROIssues[[#This Row],[LaborHours_Billed]]*tblROIssues[[#This Row],[LaborRate]]</f>
        <v>162</v>
      </c>
      <c r="Q55">
        <f>tblROIssues[[#This Row],[LaborHours_Correct]]*tblROIssues[[#This Row],[LaborRate]]</f>
        <v>62.999999999999993</v>
      </c>
      <c r="R55">
        <f>tblROIssues[[#This Row],[LaborCost_Billed]]-tblROIssues[[#This Row],[LaborCost_Correct]]</f>
        <v>99</v>
      </c>
      <c r="S55" t="str">
        <f>IF(tblROIssues[[#This Row],[CostOvercharge]] &gt; 120, "High",
   IF(tblROIssues[[#This Row],[CostOvercharge]] &gt; 75, "Medium",
   IF(tblROIssues[[#This Row],[CostOvercharge]] &gt; 0, "Low", "None")))</f>
        <v>Medium</v>
      </c>
    </row>
    <row r="56" spans="1:19" x14ac:dyDescent="0.25">
      <c r="A56">
        <v>3</v>
      </c>
      <c r="B56">
        <v>2343203</v>
      </c>
      <c r="C56" t="s">
        <v>25</v>
      </c>
      <c r="D56" t="s">
        <v>38</v>
      </c>
      <c r="E56" t="s">
        <v>41</v>
      </c>
      <c r="F56" t="s">
        <v>54</v>
      </c>
      <c r="G56" t="s">
        <v>59</v>
      </c>
      <c r="H56" t="s">
        <v>74</v>
      </c>
      <c r="I56">
        <v>2.9</v>
      </c>
      <c r="J56">
        <v>1.8</v>
      </c>
      <c r="K56">
        <v>20.39</v>
      </c>
      <c r="L56">
        <v>281.39</v>
      </c>
      <c r="M56" t="s">
        <v>115</v>
      </c>
      <c r="N56" t="s">
        <v>127</v>
      </c>
      <c r="O56">
        <f>90</f>
        <v>90</v>
      </c>
      <c r="P56">
        <f>tblROIssues[[#This Row],[LaborHours_Billed]]*tblROIssues[[#This Row],[LaborRate]]</f>
        <v>261</v>
      </c>
      <c r="Q56">
        <f>tblROIssues[[#This Row],[LaborHours_Correct]]*tblROIssues[[#This Row],[LaborRate]]</f>
        <v>162</v>
      </c>
      <c r="R56">
        <f>tblROIssues[[#This Row],[LaborCost_Billed]]-tblROIssues[[#This Row],[LaborCost_Correct]]</f>
        <v>99</v>
      </c>
      <c r="S56" t="str">
        <f>IF(tblROIssues[[#This Row],[CostOvercharge]] &gt; 120, "High",
   IF(tblROIssues[[#This Row],[CostOvercharge]] &gt; 75, "Medium",
   IF(tblROIssues[[#This Row],[CostOvercharge]] &gt; 0, "Low", "None")))</f>
        <v>Medium</v>
      </c>
    </row>
    <row r="57" spans="1:19" x14ac:dyDescent="0.25">
      <c r="A57">
        <v>5</v>
      </c>
      <c r="B57">
        <v>2343289</v>
      </c>
      <c r="C57" t="s">
        <v>24</v>
      </c>
      <c r="D57" t="s">
        <v>37</v>
      </c>
      <c r="E57" t="s">
        <v>41</v>
      </c>
      <c r="F57" t="s">
        <v>46</v>
      </c>
      <c r="G57" t="s">
        <v>59</v>
      </c>
      <c r="H57" t="s">
        <v>88</v>
      </c>
      <c r="I57">
        <v>1.8</v>
      </c>
      <c r="J57">
        <v>0.7</v>
      </c>
      <c r="K57">
        <v>34.979999999999997</v>
      </c>
      <c r="L57">
        <v>196.98</v>
      </c>
      <c r="M57" t="s">
        <v>115</v>
      </c>
      <c r="N57" t="s">
        <v>117</v>
      </c>
      <c r="O57">
        <f>90</f>
        <v>90</v>
      </c>
      <c r="P57">
        <f>tblROIssues[[#This Row],[LaborHours_Billed]]*tblROIssues[[#This Row],[LaborRate]]</f>
        <v>162</v>
      </c>
      <c r="Q57">
        <f>tblROIssues[[#This Row],[LaborHours_Correct]]*tblROIssues[[#This Row],[LaborRate]]</f>
        <v>62.999999999999993</v>
      </c>
      <c r="R57">
        <f>tblROIssues[[#This Row],[LaborCost_Billed]]-tblROIssues[[#This Row],[LaborCost_Correct]]</f>
        <v>99</v>
      </c>
      <c r="S57" t="str">
        <f>IF(tblROIssues[[#This Row],[CostOvercharge]] &gt; 120, "High",
   IF(tblROIssues[[#This Row],[CostOvercharge]] &gt; 75, "Medium",
   IF(tblROIssues[[#This Row],[CostOvercharge]] &gt; 0, "Low", "None")))</f>
        <v>Medium</v>
      </c>
    </row>
    <row r="58" spans="1:19" x14ac:dyDescent="0.25">
      <c r="A58">
        <v>5</v>
      </c>
      <c r="B58">
        <v>2343309</v>
      </c>
      <c r="C58" t="s">
        <v>23</v>
      </c>
      <c r="D58" t="s">
        <v>39</v>
      </c>
      <c r="E58" t="s">
        <v>45</v>
      </c>
      <c r="F58" t="s">
        <v>56</v>
      </c>
      <c r="G58" t="s">
        <v>59</v>
      </c>
      <c r="H58" t="s">
        <v>89</v>
      </c>
      <c r="I58">
        <v>4.3</v>
      </c>
      <c r="J58">
        <v>3.2</v>
      </c>
      <c r="K58">
        <v>102.89</v>
      </c>
      <c r="L58">
        <v>489.89</v>
      </c>
      <c r="M58" t="s">
        <v>115</v>
      </c>
      <c r="N58" t="s">
        <v>169</v>
      </c>
      <c r="O58">
        <f>90</f>
        <v>90</v>
      </c>
      <c r="P58">
        <f>tblROIssues[[#This Row],[LaborHours_Billed]]*tblROIssues[[#This Row],[LaborRate]]</f>
        <v>387</v>
      </c>
      <c r="Q58">
        <f>tblROIssues[[#This Row],[LaborHours_Correct]]*tblROIssues[[#This Row],[LaborRate]]</f>
        <v>288</v>
      </c>
      <c r="R58">
        <f>tblROIssues[[#This Row],[LaborCost_Billed]]-tblROIssues[[#This Row],[LaborCost_Correct]]</f>
        <v>99</v>
      </c>
      <c r="S58" t="str">
        <f>IF(tblROIssues[[#This Row],[CostOvercharge]] &gt; 120, "High",
   IF(tblROIssues[[#This Row],[CostOvercharge]] &gt; 75, "Medium",
   IF(tblROIssues[[#This Row],[CostOvercharge]] &gt; 0, "Low", "None")))</f>
        <v>Medium</v>
      </c>
    </row>
    <row r="59" spans="1:19" x14ac:dyDescent="0.25">
      <c r="A59">
        <v>6</v>
      </c>
      <c r="B59">
        <v>2343414</v>
      </c>
      <c r="C59" t="s">
        <v>27</v>
      </c>
      <c r="D59" t="s">
        <v>38</v>
      </c>
      <c r="E59" t="s">
        <v>43</v>
      </c>
      <c r="F59" t="s">
        <v>46</v>
      </c>
      <c r="G59" t="s">
        <v>58</v>
      </c>
      <c r="H59" t="s">
        <v>100</v>
      </c>
      <c r="I59">
        <v>3.5</v>
      </c>
      <c r="J59">
        <v>2.4</v>
      </c>
      <c r="K59">
        <v>212.21</v>
      </c>
      <c r="L59">
        <v>527.21</v>
      </c>
      <c r="M59" t="s">
        <v>115</v>
      </c>
      <c r="N59" t="s">
        <v>177</v>
      </c>
      <c r="O59">
        <f>90</f>
        <v>90</v>
      </c>
      <c r="P59">
        <f>tblROIssues[[#This Row],[LaborHours_Billed]]*tblROIssues[[#This Row],[LaborRate]]</f>
        <v>315</v>
      </c>
      <c r="Q59">
        <f>tblROIssues[[#This Row],[LaborHours_Correct]]*tblROIssues[[#This Row],[LaborRate]]</f>
        <v>216</v>
      </c>
      <c r="R59">
        <f>tblROIssues[[#This Row],[LaborCost_Billed]]-tblROIssues[[#This Row],[LaborCost_Correct]]</f>
        <v>99</v>
      </c>
      <c r="S59" t="str">
        <f>IF(tblROIssues[[#This Row],[CostOvercharge]] &gt; 120, "High",
   IF(tblROIssues[[#This Row],[CostOvercharge]] &gt; 75, "Medium",
   IF(tblROIssues[[#This Row],[CostOvercharge]] &gt; 0, "Low", "None")))</f>
        <v>Medium</v>
      </c>
    </row>
    <row r="60" spans="1:19" x14ac:dyDescent="0.25">
      <c r="A60">
        <v>6</v>
      </c>
      <c r="B60">
        <v>2343376</v>
      </c>
      <c r="C60" t="s">
        <v>21</v>
      </c>
      <c r="D60" t="s">
        <v>39</v>
      </c>
      <c r="E60" t="s">
        <v>45</v>
      </c>
      <c r="F60" t="s">
        <v>57</v>
      </c>
      <c r="G60" t="s">
        <v>58</v>
      </c>
      <c r="H60" t="s">
        <v>98</v>
      </c>
      <c r="I60">
        <v>4</v>
      </c>
      <c r="J60">
        <v>2.9</v>
      </c>
      <c r="K60">
        <v>305.60000000000002</v>
      </c>
      <c r="L60">
        <v>665.6</v>
      </c>
      <c r="M60" t="s">
        <v>116</v>
      </c>
      <c r="N60" t="s">
        <v>172</v>
      </c>
      <c r="O60">
        <f>90</f>
        <v>90</v>
      </c>
      <c r="P60">
        <f>tblROIssues[[#This Row],[LaborHours_Billed]]*tblROIssues[[#This Row],[LaborRate]]</f>
        <v>360</v>
      </c>
      <c r="Q60">
        <f>tblROIssues[[#This Row],[LaborHours_Correct]]*tblROIssues[[#This Row],[LaborRate]]</f>
        <v>261</v>
      </c>
      <c r="R60">
        <f>tblROIssues[[#This Row],[LaborCost_Billed]]-tblROIssues[[#This Row],[LaborCost_Correct]]</f>
        <v>99</v>
      </c>
      <c r="S60" t="str">
        <f>IF(tblROIssues[[#This Row],[CostOvercharge]] &gt; 120, "High",
   IF(tblROIssues[[#This Row],[CostOvercharge]] &gt; 75, "Medium",
   IF(tblROIssues[[#This Row],[CostOvercharge]] &gt; 0, "Low", "None")))</f>
        <v>Medium</v>
      </c>
    </row>
    <row r="61" spans="1:19" x14ac:dyDescent="0.25">
      <c r="A61">
        <v>7</v>
      </c>
      <c r="B61">
        <v>2343447</v>
      </c>
      <c r="C61" t="s">
        <v>22</v>
      </c>
      <c r="D61" t="s">
        <v>37</v>
      </c>
      <c r="E61" t="s">
        <v>41</v>
      </c>
      <c r="F61" t="s">
        <v>49</v>
      </c>
      <c r="G61" t="s">
        <v>59</v>
      </c>
      <c r="H61" t="s">
        <v>103</v>
      </c>
      <c r="I61">
        <v>3.6</v>
      </c>
      <c r="J61">
        <v>2.5</v>
      </c>
      <c r="K61">
        <v>240.06</v>
      </c>
      <c r="L61">
        <v>564.05999999999995</v>
      </c>
      <c r="M61" t="s">
        <v>115</v>
      </c>
      <c r="N61" t="s">
        <v>120</v>
      </c>
      <c r="O61">
        <f>90</f>
        <v>90</v>
      </c>
      <c r="P61">
        <f>tblROIssues[[#This Row],[LaborHours_Billed]]*tblROIssues[[#This Row],[LaborRate]]</f>
        <v>324</v>
      </c>
      <c r="Q61">
        <f>tblROIssues[[#This Row],[LaborHours_Correct]]*tblROIssues[[#This Row],[LaborRate]]</f>
        <v>225</v>
      </c>
      <c r="R61">
        <f>tblROIssues[[#This Row],[LaborCost_Billed]]-tblROIssues[[#This Row],[LaborCost_Correct]]</f>
        <v>99</v>
      </c>
      <c r="S61" t="str">
        <f>IF(tblROIssues[[#This Row],[CostOvercharge]] &gt; 120, "High",
   IF(tblROIssues[[#This Row],[CostOvercharge]] &gt; 75, "Medium",
   IF(tblROIssues[[#This Row],[CostOvercharge]] &gt; 0, "Low", "None")))</f>
        <v>Medium</v>
      </c>
    </row>
    <row r="62" spans="1:19" x14ac:dyDescent="0.25">
      <c r="A62">
        <v>8</v>
      </c>
      <c r="B62">
        <v>2343578</v>
      </c>
      <c r="C62" t="s">
        <v>36</v>
      </c>
      <c r="D62" t="s">
        <v>38</v>
      </c>
      <c r="E62" t="s">
        <v>43</v>
      </c>
      <c r="F62" t="s">
        <v>56</v>
      </c>
      <c r="G62" t="s">
        <v>59</v>
      </c>
      <c r="H62" t="s">
        <v>112</v>
      </c>
      <c r="I62">
        <v>1.4</v>
      </c>
      <c r="J62">
        <v>0.3</v>
      </c>
      <c r="K62">
        <v>23.14</v>
      </c>
      <c r="L62">
        <v>149.13999999999999</v>
      </c>
      <c r="M62" t="s">
        <v>115</v>
      </c>
      <c r="N62" t="s">
        <v>134</v>
      </c>
      <c r="O62">
        <f>90</f>
        <v>90</v>
      </c>
      <c r="P62">
        <f>tblROIssues[[#This Row],[LaborHours_Billed]]*tblROIssues[[#This Row],[LaborRate]]</f>
        <v>125.99999999999999</v>
      </c>
      <c r="Q62">
        <f>tblROIssues[[#This Row],[LaborHours_Correct]]*tblROIssues[[#This Row],[LaborRate]]</f>
        <v>27</v>
      </c>
      <c r="R62">
        <f>tblROIssues[[#This Row],[LaborCost_Billed]]-tblROIssues[[#This Row],[LaborCost_Correct]]</f>
        <v>98.999999999999986</v>
      </c>
      <c r="S62" t="str">
        <f>IF(tblROIssues[[#This Row],[CostOvercharge]] &gt; 120, "High",
   IF(tblROIssues[[#This Row],[CostOvercharge]] &gt; 75, "Medium",
   IF(tblROIssues[[#This Row],[CostOvercharge]] &gt; 0, "Low", "None")))</f>
        <v>Medium</v>
      </c>
    </row>
    <row r="63" spans="1:19" x14ac:dyDescent="0.25">
      <c r="A63">
        <v>7</v>
      </c>
      <c r="B63">
        <v>2343464</v>
      </c>
      <c r="C63" t="s">
        <v>36</v>
      </c>
      <c r="D63" t="s">
        <v>38</v>
      </c>
      <c r="E63" t="s">
        <v>43</v>
      </c>
      <c r="F63" t="s">
        <v>49</v>
      </c>
      <c r="G63" t="s">
        <v>59</v>
      </c>
      <c r="H63" t="s">
        <v>106</v>
      </c>
      <c r="I63">
        <v>4.0999999999999996</v>
      </c>
      <c r="J63">
        <v>3</v>
      </c>
      <c r="K63">
        <v>180.38</v>
      </c>
      <c r="L63">
        <v>549.38</v>
      </c>
      <c r="M63" t="s">
        <v>115</v>
      </c>
      <c r="N63" t="s">
        <v>179</v>
      </c>
      <c r="O63">
        <f>90</f>
        <v>90</v>
      </c>
      <c r="P63">
        <f>tblROIssues[[#This Row],[LaborHours_Billed]]*tblROIssues[[#This Row],[LaborRate]]</f>
        <v>368.99999999999994</v>
      </c>
      <c r="Q63">
        <f>tblROIssues[[#This Row],[LaborHours_Correct]]*tblROIssues[[#This Row],[LaborRate]]</f>
        <v>270</v>
      </c>
      <c r="R63">
        <f>tblROIssues[[#This Row],[LaborCost_Billed]]-tblROIssues[[#This Row],[LaborCost_Correct]]</f>
        <v>98.999999999999943</v>
      </c>
      <c r="S63" t="str">
        <f>IF(tblROIssues[[#This Row],[CostOvercharge]] &gt; 120, "High",
   IF(tblROIssues[[#This Row],[CostOvercharge]] &gt; 75, "Medium",
   IF(tblROIssues[[#This Row],[CostOvercharge]] &gt; 0, "Low", "None")))</f>
        <v>Medium</v>
      </c>
    </row>
    <row r="64" spans="1:19" x14ac:dyDescent="0.25">
      <c r="A64">
        <v>6</v>
      </c>
      <c r="B64">
        <v>2343369</v>
      </c>
      <c r="C64" t="s">
        <v>24</v>
      </c>
      <c r="D64" t="s">
        <v>40</v>
      </c>
      <c r="E64" t="s">
        <v>43</v>
      </c>
      <c r="F64" t="s">
        <v>46</v>
      </c>
      <c r="G64" t="s">
        <v>59</v>
      </c>
      <c r="H64" t="s">
        <v>95</v>
      </c>
      <c r="I64">
        <v>2.2000000000000002</v>
      </c>
      <c r="J64">
        <v>1.2</v>
      </c>
      <c r="K64">
        <v>109.11</v>
      </c>
      <c r="L64">
        <v>307.11</v>
      </c>
      <c r="M64" t="s">
        <v>116</v>
      </c>
      <c r="N64" t="s">
        <v>144</v>
      </c>
      <c r="O64">
        <f>90</f>
        <v>90</v>
      </c>
      <c r="P64">
        <f>tblROIssues[[#This Row],[LaborHours_Billed]]*tblROIssues[[#This Row],[LaborRate]]</f>
        <v>198.00000000000003</v>
      </c>
      <c r="Q64">
        <f>tblROIssues[[#This Row],[LaborHours_Correct]]*tblROIssues[[#This Row],[LaborRate]]</f>
        <v>108</v>
      </c>
      <c r="R64">
        <f>tblROIssues[[#This Row],[LaborCost_Billed]]-tblROIssues[[#This Row],[LaborCost_Correct]]</f>
        <v>90.000000000000028</v>
      </c>
      <c r="S64" t="str">
        <f>IF(tblROIssues[[#This Row],[CostOvercharge]] &gt; 120, "High",
   IF(tblROIssues[[#This Row],[CostOvercharge]] &gt; 75, "Medium",
   IF(tblROIssues[[#This Row],[CostOvercharge]] &gt; 0, "Low", "None")))</f>
        <v>Medium</v>
      </c>
    </row>
    <row r="65" spans="1:19" x14ac:dyDescent="0.25">
      <c r="A65">
        <v>2</v>
      </c>
      <c r="B65">
        <v>2343131</v>
      </c>
      <c r="C65" t="s">
        <v>24</v>
      </c>
      <c r="D65" t="s">
        <v>37</v>
      </c>
      <c r="E65" t="s">
        <v>43</v>
      </c>
      <c r="F65" t="s">
        <v>55</v>
      </c>
      <c r="G65" t="s">
        <v>59</v>
      </c>
      <c r="H65" t="s">
        <v>68</v>
      </c>
      <c r="I65">
        <v>3.1</v>
      </c>
      <c r="J65">
        <v>2.1</v>
      </c>
      <c r="K65">
        <v>42.15</v>
      </c>
      <c r="L65">
        <v>321.14999999999998</v>
      </c>
      <c r="M65" t="s">
        <v>115</v>
      </c>
      <c r="N65" t="s">
        <v>140</v>
      </c>
      <c r="O65">
        <f>90</f>
        <v>90</v>
      </c>
      <c r="P65">
        <f>tblROIssues[[#This Row],[LaborHours_Billed]]*tblROIssues[[#This Row],[LaborRate]]</f>
        <v>279</v>
      </c>
      <c r="Q65">
        <f>tblROIssues[[#This Row],[LaborHours_Correct]]*tblROIssues[[#This Row],[LaborRate]]</f>
        <v>189</v>
      </c>
      <c r="R65">
        <f>tblROIssues[[#This Row],[LaborCost_Billed]]-tblROIssues[[#This Row],[LaborCost_Correct]]</f>
        <v>90</v>
      </c>
      <c r="S65" t="str">
        <f>IF(tblROIssues[[#This Row],[CostOvercharge]] &gt; 120, "High",
   IF(tblROIssues[[#This Row],[CostOvercharge]] &gt; 75, "Medium",
   IF(tblROIssues[[#This Row],[CostOvercharge]] &gt; 0, "Low", "None")))</f>
        <v>Medium</v>
      </c>
    </row>
    <row r="66" spans="1:19" x14ac:dyDescent="0.25">
      <c r="A66">
        <v>2</v>
      </c>
      <c r="B66">
        <v>2343136</v>
      </c>
      <c r="C66" t="s">
        <v>14</v>
      </c>
      <c r="D66" t="s">
        <v>37</v>
      </c>
      <c r="E66" t="s">
        <v>45</v>
      </c>
      <c r="F66" t="s">
        <v>52</v>
      </c>
      <c r="G66" t="s">
        <v>58</v>
      </c>
      <c r="H66" t="s">
        <v>69</v>
      </c>
      <c r="I66">
        <v>1.3</v>
      </c>
      <c r="J66">
        <v>0.3</v>
      </c>
      <c r="K66">
        <v>176.89</v>
      </c>
      <c r="L66">
        <v>293.89</v>
      </c>
      <c r="M66" t="s">
        <v>115</v>
      </c>
      <c r="N66" t="s">
        <v>143</v>
      </c>
      <c r="O66">
        <f>90</f>
        <v>90</v>
      </c>
      <c r="P66">
        <f>tblROIssues[[#This Row],[LaborHours_Billed]]*tblROIssues[[#This Row],[LaborRate]]</f>
        <v>117</v>
      </c>
      <c r="Q66">
        <f>tblROIssues[[#This Row],[LaborHours_Correct]]*tblROIssues[[#This Row],[LaborRate]]</f>
        <v>27</v>
      </c>
      <c r="R66">
        <f>tblROIssues[[#This Row],[LaborCost_Billed]]-tblROIssues[[#This Row],[LaborCost_Correct]]</f>
        <v>90</v>
      </c>
      <c r="S66" t="str">
        <f>IF(tblROIssues[[#This Row],[CostOvercharge]] &gt; 120, "High",
   IF(tblROIssues[[#This Row],[CostOvercharge]] &gt; 75, "Medium",
   IF(tblROIssues[[#This Row],[CostOvercharge]] &gt; 0, "Low", "None")))</f>
        <v>Medium</v>
      </c>
    </row>
    <row r="67" spans="1:19" x14ac:dyDescent="0.25">
      <c r="A67">
        <v>2</v>
      </c>
      <c r="B67">
        <v>2343087</v>
      </c>
      <c r="C67" t="s">
        <v>32</v>
      </c>
      <c r="D67" t="s">
        <v>38</v>
      </c>
      <c r="E67" t="s">
        <v>41</v>
      </c>
      <c r="F67" t="s">
        <v>50</v>
      </c>
      <c r="G67" t="s">
        <v>58</v>
      </c>
      <c r="H67" t="s">
        <v>69</v>
      </c>
      <c r="I67">
        <v>1.3</v>
      </c>
      <c r="J67">
        <v>0.3</v>
      </c>
      <c r="K67">
        <v>342.73</v>
      </c>
      <c r="L67">
        <v>459.73</v>
      </c>
      <c r="M67" t="s">
        <v>115</v>
      </c>
      <c r="N67" t="s">
        <v>130</v>
      </c>
      <c r="O67">
        <f>90</f>
        <v>90</v>
      </c>
      <c r="P67">
        <f>tblROIssues[[#This Row],[LaborHours_Billed]]*tblROIssues[[#This Row],[LaborRate]]</f>
        <v>117</v>
      </c>
      <c r="Q67">
        <f>tblROIssues[[#This Row],[LaborHours_Correct]]*tblROIssues[[#This Row],[LaborRate]]</f>
        <v>27</v>
      </c>
      <c r="R67">
        <f>tblROIssues[[#This Row],[LaborCost_Billed]]-tblROIssues[[#This Row],[LaborCost_Correct]]</f>
        <v>90</v>
      </c>
      <c r="S67" t="str">
        <f>IF(tblROIssues[[#This Row],[CostOvercharge]] &gt; 120, "High",
   IF(tblROIssues[[#This Row],[CostOvercharge]] &gt; 75, "Medium",
   IF(tblROIssues[[#This Row],[CostOvercharge]] &gt; 0, "Low", "None")))</f>
        <v>Medium</v>
      </c>
    </row>
    <row r="68" spans="1:19" x14ac:dyDescent="0.25">
      <c r="A68">
        <v>3</v>
      </c>
      <c r="B68">
        <v>2343190</v>
      </c>
      <c r="C68" t="s">
        <v>36</v>
      </c>
      <c r="D68" t="s">
        <v>37</v>
      </c>
      <c r="E68" t="s">
        <v>41</v>
      </c>
      <c r="F68" t="s">
        <v>49</v>
      </c>
      <c r="G68" t="s">
        <v>59</v>
      </c>
      <c r="H68" t="s">
        <v>77</v>
      </c>
      <c r="I68">
        <v>3.4</v>
      </c>
      <c r="J68">
        <v>2.4</v>
      </c>
      <c r="K68">
        <v>275.27</v>
      </c>
      <c r="L68">
        <v>581.27</v>
      </c>
      <c r="M68" t="s">
        <v>115</v>
      </c>
      <c r="N68" t="s">
        <v>120</v>
      </c>
      <c r="O68">
        <f>90</f>
        <v>90</v>
      </c>
      <c r="P68">
        <f>tblROIssues[[#This Row],[LaborHours_Billed]]*tblROIssues[[#This Row],[LaborRate]]</f>
        <v>306</v>
      </c>
      <c r="Q68">
        <f>tblROIssues[[#This Row],[LaborHours_Correct]]*tblROIssues[[#This Row],[LaborRate]]</f>
        <v>216</v>
      </c>
      <c r="R68">
        <f>tblROIssues[[#This Row],[LaborCost_Billed]]-tblROIssues[[#This Row],[LaborCost_Correct]]</f>
        <v>90</v>
      </c>
      <c r="S68" t="str">
        <f>IF(tblROIssues[[#This Row],[CostOvercharge]] &gt; 120, "High",
   IF(tblROIssues[[#This Row],[CostOvercharge]] &gt; 75, "Medium",
   IF(tblROIssues[[#This Row],[CostOvercharge]] &gt; 0, "Low", "None")))</f>
        <v>Medium</v>
      </c>
    </row>
    <row r="69" spans="1:19" x14ac:dyDescent="0.25">
      <c r="A69">
        <v>4</v>
      </c>
      <c r="B69">
        <v>2343267</v>
      </c>
      <c r="C69" t="s">
        <v>30</v>
      </c>
      <c r="D69" t="s">
        <v>37</v>
      </c>
      <c r="E69" t="s">
        <v>43</v>
      </c>
      <c r="F69" t="s">
        <v>55</v>
      </c>
      <c r="G69" t="s">
        <v>58</v>
      </c>
      <c r="H69" t="s">
        <v>85</v>
      </c>
      <c r="I69">
        <v>3.6</v>
      </c>
      <c r="J69">
        <v>2.6</v>
      </c>
      <c r="K69">
        <v>190.9</v>
      </c>
      <c r="L69">
        <v>514.9</v>
      </c>
      <c r="M69" t="s">
        <v>115</v>
      </c>
      <c r="N69" t="s">
        <v>140</v>
      </c>
      <c r="O69">
        <f>90</f>
        <v>90</v>
      </c>
      <c r="P69">
        <f>tblROIssues[[#This Row],[LaborHours_Billed]]*tblROIssues[[#This Row],[LaborRate]]</f>
        <v>324</v>
      </c>
      <c r="Q69">
        <f>tblROIssues[[#This Row],[LaborHours_Correct]]*tblROIssues[[#This Row],[LaborRate]]</f>
        <v>234</v>
      </c>
      <c r="R69">
        <f>tblROIssues[[#This Row],[LaborCost_Billed]]-tblROIssues[[#This Row],[LaborCost_Correct]]</f>
        <v>90</v>
      </c>
      <c r="S69" t="str">
        <f>IF(tblROIssues[[#This Row],[CostOvercharge]] &gt; 120, "High",
   IF(tblROIssues[[#This Row],[CostOvercharge]] &gt; 75, "Medium",
   IF(tblROIssues[[#This Row],[CostOvercharge]] &gt; 0, "Low", "None")))</f>
        <v>Medium</v>
      </c>
    </row>
    <row r="70" spans="1:19" x14ac:dyDescent="0.25">
      <c r="A70">
        <v>6</v>
      </c>
      <c r="B70">
        <v>2343402</v>
      </c>
      <c r="C70" t="s">
        <v>31</v>
      </c>
      <c r="D70" t="s">
        <v>38</v>
      </c>
      <c r="E70" t="s">
        <v>43</v>
      </c>
      <c r="F70" t="s">
        <v>54</v>
      </c>
      <c r="G70" t="s">
        <v>59</v>
      </c>
      <c r="H70" t="s">
        <v>97</v>
      </c>
      <c r="I70">
        <v>2.6</v>
      </c>
      <c r="J70">
        <v>1.6</v>
      </c>
      <c r="K70">
        <v>125.99</v>
      </c>
      <c r="L70">
        <v>359.99</v>
      </c>
      <c r="M70" t="s">
        <v>115</v>
      </c>
      <c r="N70" t="s">
        <v>127</v>
      </c>
      <c r="O70">
        <f>90</f>
        <v>90</v>
      </c>
      <c r="P70">
        <f>tblROIssues[[#This Row],[LaborHours_Billed]]*tblROIssues[[#This Row],[LaborRate]]</f>
        <v>234</v>
      </c>
      <c r="Q70">
        <f>tblROIssues[[#This Row],[LaborHours_Correct]]*tblROIssues[[#This Row],[LaborRate]]</f>
        <v>144</v>
      </c>
      <c r="R70">
        <f>tblROIssues[[#This Row],[LaborCost_Billed]]-tblROIssues[[#This Row],[LaborCost_Correct]]</f>
        <v>90</v>
      </c>
      <c r="S70" t="str">
        <f>IF(tblROIssues[[#This Row],[CostOvercharge]] &gt; 120, "High",
   IF(tblROIssues[[#This Row],[CostOvercharge]] &gt; 75, "Medium",
   IF(tblROIssues[[#This Row],[CostOvercharge]] &gt; 0, "Low", "None")))</f>
        <v>Medium</v>
      </c>
    </row>
    <row r="71" spans="1:19" x14ac:dyDescent="0.25">
      <c r="A71">
        <v>7</v>
      </c>
      <c r="B71">
        <v>2343523</v>
      </c>
      <c r="C71" t="s">
        <v>22</v>
      </c>
      <c r="D71" t="s">
        <v>37</v>
      </c>
      <c r="E71" t="s">
        <v>43</v>
      </c>
      <c r="F71" t="s">
        <v>57</v>
      </c>
      <c r="G71" t="s">
        <v>58</v>
      </c>
      <c r="H71" t="s">
        <v>106</v>
      </c>
      <c r="I71">
        <v>1.3</v>
      </c>
      <c r="J71">
        <v>0.3</v>
      </c>
      <c r="K71">
        <v>8.8699999999999992</v>
      </c>
      <c r="L71">
        <v>125.87</v>
      </c>
      <c r="M71" t="s">
        <v>115</v>
      </c>
      <c r="N71" t="s">
        <v>158</v>
      </c>
      <c r="O71">
        <f>90</f>
        <v>90</v>
      </c>
      <c r="P71">
        <f>tblROIssues[[#This Row],[LaborHours_Billed]]*tblROIssues[[#This Row],[LaborRate]]</f>
        <v>117</v>
      </c>
      <c r="Q71">
        <f>tblROIssues[[#This Row],[LaborHours_Correct]]*tblROIssues[[#This Row],[LaborRate]]</f>
        <v>27</v>
      </c>
      <c r="R71">
        <f>tblROIssues[[#This Row],[LaborCost_Billed]]-tblROIssues[[#This Row],[LaborCost_Correct]]</f>
        <v>90</v>
      </c>
      <c r="S71" t="str">
        <f>IF(tblROIssues[[#This Row],[CostOvercharge]] &gt; 120, "High",
   IF(tblROIssues[[#This Row],[CostOvercharge]] &gt; 75, "Medium",
   IF(tblROIssues[[#This Row],[CostOvercharge]] &gt; 0, "Low", "None")))</f>
        <v>Medium</v>
      </c>
    </row>
    <row r="72" spans="1:19" x14ac:dyDescent="0.25">
      <c r="A72">
        <v>8</v>
      </c>
      <c r="B72">
        <v>2343555</v>
      </c>
      <c r="C72" t="s">
        <v>36</v>
      </c>
      <c r="D72" t="s">
        <v>38</v>
      </c>
      <c r="E72" t="s">
        <v>43</v>
      </c>
      <c r="F72" t="s">
        <v>46</v>
      </c>
      <c r="G72" t="s">
        <v>59</v>
      </c>
      <c r="H72" t="s">
        <v>109</v>
      </c>
      <c r="I72">
        <v>1.5</v>
      </c>
      <c r="J72">
        <v>0.5</v>
      </c>
      <c r="K72">
        <v>293.14</v>
      </c>
      <c r="L72">
        <v>428.14</v>
      </c>
      <c r="M72" t="s">
        <v>115</v>
      </c>
      <c r="N72" t="s">
        <v>187</v>
      </c>
      <c r="O72">
        <f>90</f>
        <v>90</v>
      </c>
      <c r="P72">
        <f>tblROIssues[[#This Row],[LaborHours_Billed]]*tblROIssues[[#This Row],[LaborRate]]</f>
        <v>135</v>
      </c>
      <c r="Q72">
        <f>tblROIssues[[#This Row],[LaborHours_Correct]]*tblROIssues[[#This Row],[LaborRate]]</f>
        <v>45</v>
      </c>
      <c r="R72">
        <f>tblROIssues[[#This Row],[LaborCost_Billed]]-tblROIssues[[#This Row],[LaborCost_Correct]]</f>
        <v>90</v>
      </c>
      <c r="S72" t="str">
        <f>IF(tblROIssues[[#This Row],[CostOvercharge]] &gt; 120, "High",
   IF(tblROIssues[[#This Row],[CostOvercharge]] &gt; 75, "Medium",
   IF(tblROIssues[[#This Row],[CostOvercharge]] &gt; 0, "Low", "None")))</f>
        <v>Medium</v>
      </c>
    </row>
    <row r="73" spans="1:19" x14ac:dyDescent="0.25">
      <c r="A73">
        <v>5</v>
      </c>
      <c r="B73">
        <v>2343294</v>
      </c>
      <c r="C73" t="s">
        <v>19</v>
      </c>
      <c r="D73" t="s">
        <v>38</v>
      </c>
      <c r="E73" t="s">
        <v>45</v>
      </c>
      <c r="F73" t="s">
        <v>49</v>
      </c>
      <c r="G73" t="s">
        <v>59</v>
      </c>
      <c r="H73" t="s">
        <v>88</v>
      </c>
      <c r="I73">
        <v>3.2</v>
      </c>
      <c r="J73">
        <v>2.2000000000000002</v>
      </c>
      <c r="K73">
        <v>139.29</v>
      </c>
      <c r="L73">
        <v>427.29</v>
      </c>
      <c r="M73" t="s">
        <v>115</v>
      </c>
      <c r="N73" t="s">
        <v>163</v>
      </c>
      <c r="O73">
        <f>90</f>
        <v>90</v>
      </c>
      <c r="P73">
        <f>tblROIssues[[#This Row],[LaborHours_Billed]]*tblROIssues[[#This Row],[LaborRate]]</f>
        <v>288</v>
      </c>
      <c r="Q73">
        <f>tblROIssues[[#This Row],[LaborHours_Correct]]*tblROIssues[[#This Row],[LaborRate]]</f>
        <v>198.00000000000003</v>
      </c>
      <c r="R73">
        <f>tblROIssues[[#This Row],[LaborCost_Billed]]-tblROIssues[[#This Row],[LaborCost_Correct]]</f>
        <v>89.999999999999972</v>
      </c>
      <c r="S73" t="str">
        <f>IF(tblROIssues[[#This Row],[CostOvercharge]] &gt; 120, "High",
   IF(tblROIssues[[#This Row],[CostOvercharge]] &gt; 75, "Medium",
   IF(tblROIssues[[#This Row],[CostOvercharge]] &gt; 0, "Low", "None")))</f>
        <v>Medium</v>
      </c>
    </row>
    <row r="74" spans="1:19" x14ac:dyDescent="0.25">
      <c r="A74">
        <v>7</v>
      </c>
      <c r="B74">
        <v>2343461</v>
      </c>
      <c r="C74" t="s">
        <v>21</v>
      </c>
      <c r="D74" t="s">
        <v>39</v>
      </c>
      <c r="E74" t="s">
        <v>45</v>
      </c>
      <c r="F74" t="s">
        <v>49</v>
      </c>
      <c r="G74" t="s">
        <v>59</v>
      </c>
      <c r="H74" t="s">
        <v>103</v>
      </c>
      <c r="I74">
        <v>3.2</v>
      </c>
      <c r="J74">
        <v>2.2000000000000002</v>
      </c>
      <c r="K74">
        <v>113.31</v>
      </c>
      <c r="L74">
        <v>401.31</v>
      </c>
      <c r="M74" t="s">
        <v>115</v>
      </c>
      <c r="N74" t="s">
        <v>137</v>
      </c>
      <c r="O74">
        <f>90</f>
        <v>90</v>
      </c>
      <c r="P74">
        <f>tblROIssues[[#This Row],[LaborHours_Billed]]*tblROIssues[[#This Row],[LaborRate]]</f>
        <v>288</v>
      </c>
      <c r="Q74">
        <f>tblROIssues[[#This Row],[LaborHours_Correct]]*tblROIssues[[#This Row],[LaborRate]]</f>
        <v>198.00000000000003</v>
      </c>
      <c r="R74">
        <f>tblROIssues[[#This Row],[LaborCost_Billed]]-tblROIssues[[#This Row],[LaborCost_Correct]]</f>
        <v>89.999999999999972</v>
      </c>
      <c r="S74" t="str">
        <f>IF(tblROIssues[[#This Row],[CostOvercharge]] &gt; 120, "High",
   IF(tblROIssues[[#This Row],[CostOvercharge]] &gt; 75, "Medium",
   IF(tblROIssues[[#This Row],[CostOvercharge]] &gt; 0, "Low", "None")))</f>
        <v>Medium</v>
      </c>
    </row>
    <row r="75" spans="1:19" x14ac:dyDescent="0.25">
      <c r="A75">
        <v>3</v>
      </c>
      <c r="B75">
        <v>2343177</v>
      </c>
      <c r="C75" t="s">
        <v>25</v>
      </c>
      <c r="D75" t="s">
        <v>37</v>
      </c>
      <c r="E75" t="s">
        <v>43</v>
      </c>
      <c r="F75" t="s">
        <v>54</v>
      </c>
      <c r="G75" t="s">
        <v>58</v>
      </c>
      <c r="H75" t="s">
        <v>78</v>
      </c>
      <c r="I75">
        <v>4.4000000000000004</v>
      </c>
      <c r="J75">
        <v>3.5</v>
      </c>
      <c r="K75">
        <v>145.33000000000001</v>
      </c>
      <c r="L75">
        <v>541.33000000000004</v>
      </c>
      <c r="M75" t="s">
        <v>115</v>
      </c>
      <c r="N75" t="s">
        <v>153</v>
      </c>
      <c r="O75">
        <f>90</f>
        <v>90</v>
      </c>
      <c r="P75">
        <f>tblROIssues[[#This Row],[LaborHours_Billed]]*tblROIssues[[#This Row],[LaborRate]]</f>
        <v>396.00000000000006</v>
      </c>
      <c r="Q75">
        <f>tblROIssues[[#This Row],[LaborHours_Correct]]*tblROIssues[[#This Row],[LaborRate]]</f>
        <v>315</v>
      </c>
      <c r="R75">
        <f>tblROIssues[[#This Row],[LaborCost_Billed]]-tblROIssues[[#This Row],[LaborCost_Correct]]</f>
        <v>81.000000000000057</v>
      </c>
      <c r="S75" t="str">
        <f>IF(tblROIssues[[#This Row],[CostOvercharge]] &gt; 120, "High",
   IF(tblROIssues[[#This Row],[CostOvercharge]] &gt; 75, "Medium",
   IF(tblROIssues[[#This Row],[CostOvercharge]] &gt; 0, "Low", "None")))</f>
        <v>Medium</v>
      </c>
    </row>
    <row r="76" spans="1:19" x14ac:dyDescent="0.25">
      <c r="A76">
        <v>1</v>
      </c>
      <c r="B76">
        <v>2343053</v>
      </c>
      <c r="C76" t="s">
        <v>27</v>
      </c>
      <c r="D76" t="s">
        <v>40</v>
      </c>
      <c r="E76" t="s">
        <v>43</v>
      </c>
      <c r="F76" t="s">
        <v>56</v>
      </c>
      <c r="G76" t="s">
        <v>59</v>
      </c>
      <c r="H76" t="s">
        <v>61</v>
      </c>
      <c r="I76">
        <v>2.4</v>
      </c>
      <c r="J76">
        <v>1.5</v>
      </c>
      <c r="K76">
        <v>192.39</v>
      </c>
      <c r="L76">
        <v>408.39</v>
      </c>
      <c r="M76" t="s">
        <v>116</v>
      </c>
      <c r="N76" t="s">
        <v>133</v>
      </c>
      <c r="O76">
        <f>90</f>
        <v>90</v>
      </c>
      <c r="P76">
        <f>tblROIssues[[#This Row],[LaborHours_Billed]]*tblROIssues[[#This Row],[LaborRate]]</f>
        <v>216</v>
      </c>
      <c r="Q76">
        <f>tblROIssues[[#This Row],[LaborHours_Correct]]*tblROIssues[[#This Row],[LaborRate]]</f>
        <v>135</v>
      </c>
      <c r="R76">
        <f>tblROIssues[[#This Row],[LaborCost_Billed]]-tblROIssues[[#This Row],[LaborCost_Correct]]</f>
        <v>81</v>
      </c>
      <c r="S76" t="str">
        <f>IF(tblROIssues[[#This Row],[CostOvercharge]] &gt; 120, "High",
   IF(tblROIssues[[#This Row],[CostOvercharge]] &gt; 75, "Medium",
   IF(tblROIssues[[#This Row],[CostOvercharge]] &gt; 0, "Low", "None")))</f>
        <v>Medium</v>
      </c>
    </row>
    <row r="77" spans="1:19" x14ac:dyDescent="0.25">
      <c r="A77">
        <v>1</v>
      </c>
      <c r="B77">
        <v>2343075</v>
      </c>
      <c r="C77" t="s">
        <v>30</v>
      </c>
      <c r="D77" t="s">
        <v>37</v>
      </c>
      <c r="E77" t="s">
        <v>41</v>
      </c>
      <c r="F77" t="s">
        <v>51</v>
      </c>
      <c r="G77" t="s">
        <v>59</v>
      </c>
      <c r="H77" t="s">
        <v>65</v>
      </c>
      <c r="I77">
        <v>1.7</v>
      </c>
      <c r="J77">
        <v>0.8</v>
      </c>
      <c r="K77">
        <v>316.36</v>
      </c>
      <c r="L77">
        <v>469.36</v>
      </c>
      <c r="M77" t="s">
        <v>115</v>
      </c>
      <c r="N77" t="s">
        <v>136</v>
      </c>
      <c r="O77">
        <f>90</f>
        <v>90</v>
      </c>
      <c r="P77">
        <f>tblROIssues[[#This Row],[LaborHours_Billed]]*tblROIssues[[#This Row],[LaborRate]]</f>
        <v>153</v>
      </c>
      <c r="Q77">
        <f>tblROIssues[[#This Row],[LaborHours_Correct]]*tblROIssues[[#This Row],[LaborRate]]</f>
        <v>72</v>
      </c>
      <c r="R77">
        <f>tblROIssues[[#This Row],[LaborCost_Billed]]-tblROIssues[[#This Row],[LaborCost_Correct]]</f>
        <v>81</v>
      </c>
      <c r="S77" t="str">
        <f>IF(tblROIssues[[#This Row],[CostOvercharge]] &gt; 120, "High",
   IF(tblROIssues[[#This Row],[CostOvercharge]] &gt; 75, "Medium",
   IF(tblROIssues[[#This Row],[CostOvercharge]] &gt; 0, "Low", "None")))</f>
        <v>Medium</v>
      </c>
    </row>
    <row r="78" spans="1:19" x14ac:dyDescent="0.25">
      <c r="A78">
        <v>3</v>
      </c>
      <c r="B78">
        <v>2343199</v>
      </c>
      <c r="C78" t="s">
        <v>29</v>
      </c>
      <c r="D78" t="s">
        <v>37</v>
      </c>
      <c r="E78" t="s">
        <v>41</v>
      </c>
      <c r="F78" t="s">
        <v>49</v>
      </c>
      <c r="G78" t="s">
        <v>59</v>
      </c>
      <c r="H78" t="s">
        <v>79</v>
      </c>
      <c r="I78">
        <v>2.4</v>
      </c>
      <c r="J78">
        <v>1.5</v>
      </c>
      <c r="K78">
        <v>77.94</v>
      </c>
      <c r="L78">
        <v>293.94</v>
      </c>
      <c r="M78" t="s">
        <v>115</v>
      </c>
      <c r="N78" t="s">
        <v>120</v>
      </c>
      <c r="O78">
        <f>90</f>
        <v>90</v>
      </c>
      <c r="P78">
        <f>tblROIssues[[#This Row],[LaborHours_Billed]]*tblROIssues[[#This Row],[LaborRate]]</f>
        <v>216</v>
      </c>
      <c r="Q78">
        <f>tblROIssues[[#This Row],[LaborHours_Correct]]*tblROIssues[[#This Row],[LaborRate]]</f>
        <v>135</v>
      </c>
      <c r="R78">
        <f>tblROIssues[[#This Row],[LaborCost_Billed]]-tblROIssues[[#This Row],[LaborCost_Correct]]</f>
        <v>81</v>
      </c>
      <c r="S78" t="str">
        <f>IF(tblROIssues[[#This Row],[CostOvercharge]] &gt; 120, "High",
   IF(tblROIssues[[#This Row],[CostOvercharge]] &gt; 75, "Medium",
   IF(tblROIssues[[#This Row],[CostOvercharge]] &gt; 0, "Low", "None")))</f>
        <v>Medium</v>
      </c>
    </row>
    <row r="79" spans="1:19" x14ac:dyDescent="0.25">
      <c r="A79">
        <v>8</v>
      </c>
      <c r="B79">
        <v>2343546</v>
      </c>
      <c r="C79" t="s">
        <v>29</v>
      </c>
      <c r="D79" t="s">
        <v>37</v>
      </c>
      <c r="E79" t="s">
        <v>45</v>
      </c>
      <c r="F79" t="s">
        <v>55</v>
      </c>
      <c r="G79" t="s">
        <v>59</v>
      </c>
      <c r="H79" t="s">
        <v>113</v>
      </c>
      <c r="I79">
        <v>3.9</v>
      </c>
      <c r="J79">
        <v>3</v>
      </c>
      <c r="K79">
        <v>402.55</v>
      </c>
      <c r="L79">
        <v>753.55</v>
      </c>
      <c r="M79" t="s">
        <v>116</v>
      </c>
      <c r="N79" t="s">
        <v>140</v>
      </c>
      <c r="O79">
        <f>90</f>
        <v>90</v>
      </c>
      <c r="P79">
        <f>tblROIssues[[#This Row],[LaborHours_Billed]]*tblROIssues[[#This Row],[LaborRate]]</f>
        <v>351</v>
      </c>
      <c r="Q79">
        <f>tblROIssues[[#This Row],[LaborHours_Correct]]*tblROIssues[[#This Row],[LaborRate]]</f>
        <v>270</v>
      </c>
      <c r="R79">
        <f>tblROIssues[[#This Row],[LaborCost_Billed]]-tblROIssues[[#This Row],[LaborCost_Correct]]</f>
        <v>81</v>
      </c>
      <c r="S79" t="str">
        <f>IF(tblROIssues[[#This Row],[CostOvercharge]] &gt; 120, "High",
   IF(tblROIssues[[#This Row],[CostOvercharge]] &gt; 75, "Medium",
   IF(tblROIssues[[#This Row],[CostOvercharge]] &gt; 0, "Low", "None")))</f>
        <v>Medium</v>
      </c>
    </row>
    <row r="80" spans="1:19" x14ac:dyDescent="0.25">
      <c r="A80">
        <v>8</v>
      </c>
      <c r="B80">
        <v>2343564</v>
      </c>
      <c r="C80" t="s">
        <v>32</v>
      </c>
      <c r="D80" t="s">
        <v>39</v>
      </c>
      <c r="E80" t="s">
        <v>44</v>
      </c>
      <c r="F80" t="s">
        <v>47</v>
      </c>
      <c r="G80" t="s">
        <v>58</v>
      </c>
      <c r="H80" t="s">
        <v>114</v>
      </c>
      <c r="I80">
        <v>1.9</v>
      </c>
      <c r="J80">
        <v>1</v>
      </c>
      <c r="K80">
        <v>21.13</v>
      </c>
      <c r="L80">
        <v>192.13</v>
      </c>
      <c r="M80" t="s">
        <v>115</v>
      </c>
      <c r="N80" t="s">
        <v>188</v>
      </c>
      <c r="O80">
        <f>90</f>
        <v>90</v>
      </c>
      <c r="P80">
        <f>tblROIssues[[#This Row],[LaborHours_Billed]]*tblROIssues[[#This Row],[LaborRate]]</f>
        <v>171</v>
      </c>
      <c r="Q80">
        <f>tblROIssues[[#This Row],[LaborHours_Correct]]*tblROIssues[[#This Row],[LaborRate]]</f>
        <v>90</v>
      </c>
      <c r="R80">
        <f>tblROIssues[[#This Row],[LaborCost_Billed]]-tblROIssues[[#This Row],[LaborCost_Correct]]</f>
        <v>81</v>
      </c>
      <c r="S80" t="str">
        <f>IF(tblROIssues[[#This Row],[CostOvercharge]] &gt; 120, "High",
   IF(tblROIssues[[#This Row],[CostOvercharge]] &gt; 75, "Medium",
   IF(tblROIssues[[#This Row],[CostOvercharge]] &gt; 0, "Low", "None")))</f>
        <v>Medium</v>
      </c>
    </row>
    <row r="81" spans="1:19" x14ac:dyDescent="0.25">
      <c r="A81">
        <v>2</v>
      </c>
      <c r="B81">
        <v>2343139</v>
      </c>
      <c r="C81" t="s">
        <v>17</v>
      </c>
      <c r="D81" t="s">
        <v>40</v>
      </c>
      <c r="E81" t="s">
        <v>43</v>
      </c>
      <c r="F81" t="s">
        <v>46</v>
      </c>
      <c r="G81" t="s">
        <v>58</v>
      </c>
      <c r="H81" t="s">
        <v>69</v>
      </c>
      <c r="I81">
        <v>3.6</v>
      </c>
      <c r="J81">
        <v>2.7</v>
      </c>
      <c r="K81">
        <v>259.61</v>
      </c>
      <c r="L81">
        <v>583.61</v>
      </c>
      <c r="M81" t="s">
        <v>116</v>
      </c>
      <c r="N81" t="s">
        <v>144</v>
      </c>
      <c r="O81">
        <f>90</f>
        <v>90</v>
      </c>
      <c r="P81">
        <f>tblROIssues[[#This Row],[LaborHours_Billed]]*tblROIssues[[#This Row],[LaborRate]]</f>
        <v>324</v>
      </c>
      <c r="Q81">
        <f>tblROIssues[[#This Row],[LaborHours_Correct]]*tblROIssues[[#This Row],[LaborRate]]</f>
        <v>243.00000000000003</v>
      </c>
      <c r="R81">
        <f>tblROIssues[[#This Row],[LaborCost_Billed]]-tblROIssues[[#This Row],[LaborCost_Correct]]</f>
        <v>80.999999999999972</v>
      </c>
      <c r="S81" t="str">
        <f>IF(tblROIssues[[#This Row],[CostOvercharge]] &gt; 120, "High",
   IF(tblROIssues[[#This Row],[CostOvercharge]] &gt; 75, "Medium",
   IF(tblROIssues[[#This Row],[CostOvercharge]] &gt; 0, "Low", "None")))</f>
        <v>Medium</v>
      </c>
    </row>
    <row r="82" spans="1:19" x14ac:dyDescent="0.25">
      <c r="A82">
        <v>7</v>
      </c>
      <c r="B82">
        <v>2343509</v>
      </c>
      <c r="C82" t="s">
        <v>35</v>
      </c>
      <c r="D82" t="s">
        <v>38</v>
      </c>
      <c r="E82" t="s">
        <v>44</v>
      </c>
      <c r="F82" t="s">
        <v>47</v>
      </c>
      <c r="G82" t="s">
        <v>59</v>
      </c>
      <c r="H82" t="s">
        <v>106</v>
      </c>
      <c r="I82">
        <v>3.6</v>
      </c>
      <c r="J82">
        <v>2.8</v>
      </c>
      <c r="K82">
        <v>235.98</v>
      </c>
      <c r="L82">
        <v>559.98</v>
      </c>
      <c r="M82" t="s">
        <v>115</v>
      </c>
      <c r="N82" t="s">
        <v>118</v>
      </c>
      <c r="O82">
        <f>90</f>
        <v>90</v>
      </c>
      <c r="P82">
        <f>tblROIssues[[#This Row],[LaborHours_Billed]]*tblROIssues[[#This Row],[LaborRate]]</f>
        <v>324</v>
      </c>
      <c r="Q82">
        <f>tblROIssues[[#This Row],[LaborHours_Correct]]*tblROIssues[[#This Row],[LaborRate]]</f>
        <v>251.99999999999997</v>
      </c>
      <c r="R82">
        <f>tblROIssues[[#This Row],[LaborCost_Billed]]-tblROIssues[[#This Row],[LaborCost_Correct]]</f>
        <v>72.000000000000028</v>
      </c>
      <c r="S82" t="str">
        <f>IF(tblROIssues[[#This Row],[CostOvercharge]] &gt; 120, "High",
   IF(tblROIssues[[#This Row],[CostOvercharge]] &gt; 75, "Medium",
   IF(tblROIssues[[#This Row],[CostOvercharge]] &gt; 0, "Low", "None")))</f>
        <v>Low</v>
      </c>
    </row>
    <row r="83" spans="1:19" x14ac:dyDescent="0.25">
      <c r="A83">
        <v>8</v>
      </c>
      <c r="B83">
        <v>2343590</v>
      </c>
      <c r="C83" t="s">
        <v>34</v>
      </c>
      <c r="D83" t="s">
        <v>39</v>
      </c>
      <c r="E83" t="s">
        <v>41</v>
      </c>
      <c r="F83" t="s">
        <v>57</v>
      </c>
      <c r="G83" t="s">
        <v>58</v>
      </c>
      <c r="H83" t="s">
        <v>111</v>
      </c>
      <c r="I83">
        <v>1.1000000000000001</v>
      </c>
      <c r="J83">
        <v>0.3</v>
      </c>
      <c r="K83">
        <v>392.83</v>
      </c>
      <c r="L83">
        <v>491.83</v>
      </c>
      <c r="M83" t="s">
        <v>115</v>
      </c>
      <c r="N83" t="s">
        <v>172</v>
      </c>
      <c r="O83">
        <f>90</f>
        <v>90</v>
      </c>
      <c r="P83">
        <f>tblROIssues[[#This Row],[LaborHours_Billed]]*tblROIssues[[#This Row],[LaborRate]]</f>
        <v>99.000000000000014</v>
      </c>
      <c r="Q83">
        <f>tblROIssues[[#This Row],[LaborHours_Correct]]*tblROIssues[[#This Row],[LaborRate]]</f>
        <v>27</v>
      </c>
      <c r="R83">
        <f>tblROIssues[[#This Row],[LaborCost_Billed]]-tblROIssues[[#This Row],[LaborCost_Correct]]</f>
        <v>72.000000000000014</v>
      </c>
      <c r="S83" t="str">
        <f>IF(tblROIssues[[#This Row],[CostOvercharge]] &gt; 120, "High",
   IF(tblROIssues[[#This Row],[CostOvercharge]] &gt; 75, "Medium",
   IF(tblROIssues[[#This Row],[CostOvercharge]] &gt; 0, "Low", "None")))</f>
        <v>Low</v>
      </c>
    </row>
    <row r="84" spans="1:19" x14ac:dyDescent="0.25">
      <c r="A84">
        <v>2</v>
      </c>
      <c r="B84">
        <v>2343146</v>
      </c>
      <c r="C84" t="s">
        <v>26</v>
      </c>
      <c r="D84" t="s">
        <v>37</v>
      </c>
      <c r="E84" t="s">
        <v>45</v>
      </c>
      <c r="F84" t="s">
        <v>49</v>
      </c>
      <c r="G84" t="s">
        <v>58</v>
      </c>
      <c r="H84" t="s">
        <v>70</v>
      </c>
      <c r="I84">
        <v>4.2</v>
      </c>
      <c r="J84">
        <v>3.4</v>
      </c>
      <c r="K84">
        <v>434.99</v>
      </c>
      <c r="L84">
        <v>812.99</v>
      </c>
      <c r="M84" t="s">
        <v>116</v>
      </c>
      <c r="N84" t="s">
        <v>120</v>
      </c>
      <c r="O84">
        <f>90</f>
        <v>90</v>
      </c>
      <c r="P84">
        <f>tblROIssues[[#This Row],[LaborHours_Billed]]*tblROIssues[[#This Row],[LaborRate]]</f>
        <v>378</v>
      </c>
      <c r="Q84">
        <f>tblROIssues[[#This Row],[LaborHours_Correct]]*tblROIssues[[#This Row],[LaborRate]]</f>
        <v>306</v>
      </c>
      <c r="R84">
        <f>tblROIssues[[#This Row],[LaborCost_Billed]]-tblROIssues[[#This Row],[LaborCost_Correct]]</f>
        <v>72</v>
      </c>
      <c r="S84" t="str">
        <f>IF(tblROIssues[[#This Row],[CostOvercharge]] &gt; 120, "High",
   IF(tblROIssues[[#This Row],[CostOvercharge]] &gt; 75, "Medium",
   IF(tblROIssues[[#This Row],[CostOvercharge]] &gt; 0, "Low", "None")))</f>
        <v>Low</v>
      </c>
    </row>
    <row r="85" spans="1:19" x14ac:dyDescent="0.25">
      <c r="A85">
        <v>4</v>
      </c>
      <c r="B85">
        <v>2343255</v>
      </c>
      <c r="C85" t="s">
        <v>22</v>
      </c>
      <c r="D85" t="s">
        <v>39</v>
      </c>
      <c r="E85" t="s">
        <v>44</v>
      </c>
      <c r="F85" t="s">
        <v>47</v>
      </c>
      <c r="G85" t="s">
        <v>58</v>
      </c>
      <c r="H85" t="s">
        <v>82</v>
      </c>
      <c r="I85">
        <v>2.6</v>
      </c>
      <c r="J85">
        <v>1.8</v>
      </c>
      <c r="K85">
        <v>399.47</v>
      </c>
      <c r="L85">
        <v>633.47</v>
      </c>
      <c r="M85" t="s">
        <v>115</v>
      </c>
      <c r="N85" t="s">
        <v>159</v>
      </c>
      <c r="O85">
        <f>90</f>
        <v>90</v>
      </c>
      <c r="P85">
        <f>tblROIssues[[#This Row],[LaborHours_Billed]]*tblROIssues[[#This Row],[LaborRate]]</f>
        <v>234</v>
      </c>
      <c r="Q85">
        <f>tblROIssues[[#This Row],[LaborHours_Correct]]*tblROIssues[[#This Row],[LaborRate]]</f>
        <v>162</v>
      </c>
      <c r="R85">
        <f>tblROIssues[[#This Row],[LaborCost_Billed]]-tblROIssues[[#This Row],[LaborCost_Correct]]</f>
        <v>72</v>
      </c>
      <c r="S85" t="str">
        <f>IF(tblROIssues[[#This Row],[CostOvercharge]] &gt; 120, "High",
   IF(tblROIssues[[#This Row],[CostOvercharge]] &gt; 75, "Medium",
   IF(tblROIssues[[#This Row],[CostOvercharge]] &gt; 0, "Low", "None")))</f>
        <v>Low</v>
      </c>
    </row>
    <row r="86" spans="1:19" x14ac:dyDescent="0.25">
      <c r="A86">
        <v>5</v>
      </c>
      <c r="B86">
        <v>2343298</v>
      </c>
      <c r="C86" t="s">
        <v>18</v>
      </c>
      <c r="D86" t="s">
        <v>38</v>
      </c>
      <c r="E86" t="s">
        <v>43</v>
      </c>
      <c r="F86" t="s">
        <v>46</v>
      </c>
      <c r="G86" t="s">
        <v>58</v>
      </c>
      <c r="H86" t="s">
        <v>91</v>
      </c>
      <c r="I86">
        <v>2.9</v>
      </c>
      <c r="J86">
        <v>2.1</v>
      </c>
      <c r="K86">
        <v>419.73</v>
      </c>
      <c r="L86">
        <v>680.73</v>
      </c>
      <c r="M86" t="s">
        <v>116</v>
      </c>
      <c r="N86" t="s">
        <v>165</v>
      </c>
      <c r="O86">
        <f>90</f>
        <v>90</v>
      </c>
      <c r="P86">
        <f>tblROIssues[[#This Row],[LaborHours_Billed]]*tblROIssues[[#This Row],[LaborRate]]</f>
        <v>261</v>
      </c>
      <c r="Q86">
        <f>tblROIssues[[#This Row],[LaborHours_Correct]]*tblROIssues[[#This Row],[LaborRate]]</f>
        <v>189</v>
      </c>
      <c r="R86">
        <f>tblROIssues[[#This Row],[LaborCost_Billed]]-tblROIssues[[#This Row],[LaborCost_Correct]]</f>
        <v>72</v>
      </c>
      <c r="S86" t="str">
        <f>IF(tblROIssues[[#This Row],[CostOvercharge]] &gt; 120, "High",
   IF(tblROIssues[[#This Row],[CostOvercharge]] &gt; 75, "Medium",
   IF(tblROIssues[[#This Row],[CostOvercharge]] &gt; 0, "Low", "None")))</f>
        <v>Low</v>
      </c>
    </row>
    <row r="87" spans="1:19" x14ac:dyDescent="0.25">
      <c r="A87">
        <v>6</v>
      </c>
      <c r="B87">
        <v>2343363</v>
      </c>
      <c r="C87" t="s">
        <v>16</v>
      </c>
      <c r="D87" t="s">
        <v>39</v>
      </c>
      <c r="E87" t="s">
        <v>41</v>
      </c>
      <c r="F87" t="s">
        <v>51</v>
      </c>
      <c r="G87" t="s">
        <v>59</v>
      </c>
      <c r="H87" t="s">
        <v>98</v>
      </c>
      <c r="I87">
        <v>1.8</v>
      </c>
      <c r="J87">
        <v>1</v>
      </c>
      <c r="K87">
        <v>336.36</v>
      </c>
      <c r="L87">
        <v>498.36</v>
      </c>
      <c r="M87" t="s">
        <v>115</v>
      </c>
      <c r="N87" t="s">
        <v>148</v>
      </c>
      <c r="O87">
        <f>90</f>
        <v>90</v>
      </c>
      <c r="P87">
        <f>tblROIssues[[#This Row],[LaborHours_Billed]]*tblROIssues[[#This Row],[LaborRate]]</f>
        <v>162</v>
      </c>
      <c r="Q87">
        <f>tblROIssues[[#This Row],[LaborHours_Correct]]*tblROIssues[[#This Row],[LaborRate]]</f>
        <v>90</v>
      </c>
      <c r="R87">
        <f>tblROIssues[[#This Row],[LaborCost_Billed]]-tblROIssues[[#This Row],[LaborCost_Correct]]</f>
        <v>72</v>
      </c>
      <c r="S87" t="str">
        <f>IF(tblROIssues[[#This Row],[CostOvercharge]] &gt; 120, "High",
   IF(tblROIssues[[#This Row],[CostOvercharge]] &gt; 75, "Medium",
   IF(tblROIssues[[#This Row],[CostOvercharge]] &gt; 0, "Low", "None")))</f>
        <v>Low</v>
      </c>
    </row>
    <row r="88" spans="1:19" x14ac:dyDescent="0.25">
      <c r="A88">
        <v>6</v>
      </c>
      <c r="B88">
        <v>2343407</v>
      </c>
      <c r="C88" t="s">
        <v>21</v>
      </c>
      <c r="D88" t="s">
        <v>40</v>
      </c>
      <c r="E88" t="s">
        <v>43</v>
      </c>
      <c r="F88" t="s">
        <v>51</v>
      </c>
      <c r="G88" t="s">
        <v>59</v>
      </c>
      <c r="H88" t="s">
        <v>100</v>
      </c>
      <c r="I88">
        <v>1.7</v>
      </c>
      <c r="J88">
        <v>0.9</v>
      </c>
      <c r="K88">
        <v>228.42</v>
      </c>
      <c r="L88">
        <v>381.42</v>
      </c>
      <c r="M88" t="s">
        <v>116</v>
      </c>
      <c r="N88" t="s">
        <v>176</v>
      </c>
      <c r="O88">
        <f>90</f>
        <v>90</v>
      </c>
      <c r="P88">
        <f>tblROIssues[[#This Row],[LaborHours_Billed]]*tblROIssues[[#This Row],[LaborRate]]</f>
        <v>153</v>
      </c>
      <c r="Q88">
        <f>tblROIssues[[#This Row],[LaborHours_Correct]]*tblROIssues[[#This Row],[LaborRate]]</f>
        <v>81</v>
      </c>
      <c r="R88">
        <f>tblROIssues[[#This Row],[LaborCost_Billed]]-tblROIssues[[#This Row],[LaborCost_Correct]]</f>
        <v>72</v>
      </c>
      <c r="S88" t="str">
        <f>IF(tblROIssues[[#This Row],[CostOvercharge]] &gt; 120, "High",
   IF(tblROIssues[[#This Row],[CostOvercharge]] &gt; 75, "Medium",
   IF(tblROIssues[[#This Row],[CostOvercharge]] &gt; 0, "Low", "None")))</f>
        <v>Low</v>
      </c>
    </row>
    <row r="89" spans="1:19" x14ac:dyDescent="0.25">
      <c r="A89">
        <v>7</v>
      </c>
      <c r="B89">
        <v>2343492</v>
      </c>
      <c r="C89" t="s">
        <v>23</v>
      </c>
      <c r="D89" t="s">
        <v>37</v>
      </c>
      <c r="E89" t="s">
        <v>41</v>
      </c>
      <c r="F89" t="s">
        <v>50</v>
      </c>
      <c r="G89" t="s">
        <v>59</v>
      </c>
      <c r="H89" t="s">
        <v>108</v>
      </c>
      <c r="I89">
        <v>1.2</v>
      </c>
      <c r="J89">
        <v>0.4</v>
      </c>
      <c r="K89">
        <v>63.39</v>
      </c>
      <c r="L89">
        <v>171.39</v>
      </c>
      <c r="M89" t="s">
        <v>115</v>
      </c>
      <c r="N89" t="s">
        <v>149</v>
      </c>
      <c r="O89">
        <f>90</f>
        <v>90</v>
      </c>
      <c r="P89">
        <f>tblROIssues[[#This Row],[LaborHours_Billed]]*tblROIssues[[#This Row],[LaborRate]]</f>
        <v>108</v>
      </c>
      <c r="Q89">
        <f>tblROIssues[[#This Row],[LaborHours_Correct]]*tblROIssues[[#This Row],[LaborRate]]</f>
        <v>36</v>
      </c>
      <c r="R89">
        <f>tblROIssues[[#This Row],[LaborCost_Billed]]-tblROIssues[[#This Row],[LaborCost_Correct]]</f>
        <v>72</v>
      </c>
      <c r="S89" t="str">
        <f>IF(tblROIssues[[#This Row],[CostOvercharge]] &gt; 120, "High",
   IF(tblROIssues[[#This Row],[CostOvercharge]] &gt; 75, "Medium",
   IF(tblROIssues[[#This Row],[CostOvercharge]] &gt; 0, "Low", "None")))</f>
        <v>Low</v>
      </c>
    </row>
    <row r="90" spans="1:19" x14ac:dyDescent="0.25">
      <c r="A90">
        <v>1</v>
      </c>
      <c r="B90">
        <v>2343060</v>
      </c>
      <c r="C90" t="s">
        <v>28</v>
      </c>
      <c r="D90" t="s">
        <v>38</v>
      </c>
      <c r="E90" t="s">
        <v>41</v>
      </c>
      <c r="F90" t="s">
        <v>56</v>
      </c>
      <c r="G90" t="s">
        <v>59</v>
      </c>
      <c r="H90" t="s">
        <v>63</v>
      </c>
      <c r="I90">
        <v>1.3</v>
      </c>
      <c r="J90">
        <v>0.6</v>
      </c>
      <c r="K90">
        <v>340</v>
      </c>
      <c r="L90">
        <v>457</v>
      </c>
      <c r="M90" t="s">
        <v>115</v>
      </c>
      <c r="N90" t="s">
        <v>134</v>
      </c>
      <c r="O90">
        <f>90</f>
        <v>90</v>
      </c>
      <c r="P90">
        <f>tblROIssues[[#This Row],[LaborHours_Billed]]*tblROIssues[[#This Row],[LaborRate]]</f>
        <v>117</v>
      </c>
      <c r="Q90">
        <f>tblROIssues[[#This Row],[LaborHours_Correct]]*tblROIssues[[#This Row],[LaborRate]]</f>
        <v>54</v>
      </c>
      <c r="R90">
        <f>tblROIssues[[#This Row],[LaborCost_Billed]]-tblROIssues[[#This Row],[LaborCost_Correct]]</f>
        <v>63</v>
      </c>
      <c r="S90" t="str">
        <f>IF(tblROIssues[[#This Row],[CostOvercharge]] &gt; 120, "High",
   IF(tblROIssues[[#This Row],[CostOvercharge]] &gt; 75, "Medium",
   IF(tblROIssues[[#This Row],[CostOvercharge]] &gt; 0, "Low", "None")))</f>
        <v>Low</v>
      </c>
    </row>
    <row r="91" spans="1:19" x14ac:dyDescent="0.25">
      <c r="A91">
        <v>2</v>
      </c>
      <c r="B91">
        <v>2343102</v>
      </c>
      <c r="C91" t="s">
        <v>14</v>
      </c>
      <c r="D91" t="s">
        <v>40</v>
      </c>
      <c r="E91" t="s">
        <v>41</v>
      </c>
      <c r="F91" t="s">
        <v>53</v>
      </c>
      <c r="G91" t="s">
        <v>59</v>
      </c>
      <c r="H91" t="s">
        <v>71</v>
      </c>
      <c r="I91">
        <v>1</v>
      </c>
      <c r="J91">
        <v>0.3</v>
      </c>
      <c r="K91">
        <v>174.03</v>
      </c>
      <c r="L91">
        <v>264.02999999999997</v>
      </c>
      <c r="M91" t="s">
        <v>116</v>
      </c>
      <c r="N91" t="s">
        <v>131</v>
      </c>
      <c r="O91">
        <f>90</f>
        <v>90</v>
      </c>
      <c r="P91">
        <f>tblROIssues[[#This Row],[LaborHours_Billed]]*tblROIssues[[#This Row],[LaborRate]]</f>
        <v>90</v>
      </c>
      <c r="Q91">
        <f>tblROIssues[[#This Row],[LaborHours_Correct]]*tblROIssues[[#This Row],[LaborRate]]</f>
        <v>27</v>
      </c>
      <c r="R91">
        <f>tblROIssues[[#This Row],[LaborCost_Billed]]-tblROIssues[[#This Row],[LaborCost_Correct]]</f>
        <v>63</v>
      </c>
      <c r="S91" t="str">
        <f>IF(tblROIssues[[#This Row],[CostOvercharge]] &gt; 120, "High",
   IF(tblROIssues[[#This Row],[CostOvercharge]] &gt; 75, "Medium",
   IF(tblROIssues[[#This Row],[CostOvercharge]] &gt; 0, "Low", "None")))</f>
        <v>Low</v>
      </c>
    </row>
    <row r="92" spans="1:19" x14ac:dyDescent="0.25">
      <c r="A92">
        <v>2</v>
      </c>
      <c r="B92">
        <v>2343148</v>
      </c>
      <c r="C92" t="s">
        <v>16</v>
      </c>
      <c r="D92" t="s">
        <v>39</v>
      </c>
      <c r="E92" t="s">
        <v>41</v>
      </c>
      <c r="F92" t="s">
        <v>48</v>
      </c>
      <c r="G92" t="s">
        <v>59</v>
      </c>
      <c r="H92" t="s">
        <v>70</v>
      </c>
      <c r="I92">
        <v>1.5</v>
      </c>
      <c r="J92">
        <v>0.8</v>
      </c>
      <c r="K92">
        <v>383.01</v>
      </c>
      <c r="L92">
        <v>518.01</v>
      </c>
      <c r="M92" t="s">
        <v>115</v>
      </c>
      <c r="N92" t="s">
        <v>119</v>
      </c>
      <c r="O92">
        <f>90</f>
        <v>90</v>
      </c>
      <c r="P92">
        <f>tblROIssues[[#This Row],[LaborHours_Billed]]*tblROIssues[[#This Row],[LaborRate]]</f>
        <v>135</v>
      </c>
      <c r="Q92">
        <f>tblROIssues[[#This Row],[LaborHours_Correct]]*tblROIssues[[#This Row],[LaborRate]]</f>
        <v>72</v>
      </c>
      <c r="R92">
        <f>tblROIssues[[#This Row],[LaborCost_Billed]]-tblROIssues[[#This Row],[LaborCost_Correct]]</f>
        <v>63</v>
      </c>
      <c r="S92" t="str">
        <f>IF(tblROIssues[[#This Row],[CostOvercharge]] &gt; 120, "High",
   IF(tblROIssues[[#This Row],[CostOvercharge]] &gt; 75, "Medium",
   IF(tblROIssues[[#This Row],[CostOvercharge]] &gt; 0, "Low", "None")))</f>
        <v>Low</v>
      </c>
    </row>
    <row r="93" spans="1:19" x14ac:dyDescent="0.25">
      <c r="A93">
        <v>3</v>
      </c>
      <c r="B93">
        <v>2343184</v>
      </c>
      <c r="C93" t="s">
        <v>28</v>
      </c>
      <c r="D93" t="s">
        <v>38</v>
      </c>
      <c r="E93" t="s">
        <v>41</v>
      </c>
      <c r="F93" t="s">
        <v>46</v>
      </c>
      <c r="G93" t="s">
        <v>59</v>
      </c>
      <c r="H93" t="s">
        <v>75</v>
      </c>
      <c r="I93">
        <v>3.2</v>
      </c>
      <c r="J93">
        <v>2.5</v>
      </c>
      <c r="K93">
        <v>77.98</v>
      </c>
      <c r="L93">
        <v>365.98</v>
      </c>
      <c r="M93" t="s">
        <v>115</v>
      </c>
      <c r="N93" t="s">
        <v>154</v>
      </c>
      <c r="O93">
        <f>90</f>
        <v>90</v>
      </c>
      <c r="P93">
        <f>tblROIssues[[#This Row],[LaborHours_Billed]]*tblROIssues[[#This Row],[LaborRate]]</f>
        <v>288</v>
      </c>
      <c r="Q93">
        <f>tblROIssues[[#This Row],[LaborHours_Correct]]*tblROIssues[[#This Row],[LaborRate]]</f>
        <v>225</v>
      </c>
      <c r="R93">
        <f>tblROIssues[[#This Row],[LaborCost_Billed]]-tblROIssues[[#This Row],[LaborCost_Correct]]</f>
        <v>63</v>
      </c>
      <c r="S93" t="str">
        <f>IF(tblROIssues[[#This Row],[CostOvercharge]] &gt; 120, "High",
   IF(tblROIssues[[#This Row],[CostOvercharge]] &gt; 75, "Medium",
   IF(tblROIssues[[#This Row],[CostOvercharge]] &gt; 0, "Low", "None")))</f>
        <v>Low</v>
      </c>
    </row>
    <row r="94" spans="1:19" x14ac:dyDescent="0.25">
      <c r="A94">
        <v>4</v>
      </c>
      <c r="B94">
        <v>2343232</v>
      </c>
      <c r="C94" t="s">
        <v>21</v>
      </c>
      <c r="D94" t="s">
        <v>38</v>
      </c>
      <c r="E94" t="s">
        <v>43</v>
      </c>
      <c r="F94" t="s">
        <v>56</v>
      </c>
      <c r="G94" t="s">
        <v>58</v>
      </c>
      <c r="H94" t="s">
        <v>83</v>
      </c>
      <c r="I94">
        <v>4.5</v>
      </c>
      <c r="J94">
        <v>3.8</v>
      </c>
      <c r="K94">
        <v>167.41</v>
      </c>
      <c r="L94">
        <v>572.41</v>
      </c>
      <c r="M94" t="s">
        <v>115</v>
      </c>
      <c r="N94" t="s">
        <v>134</v>
      </c>
      <c r="O94">
        <f>90</f>
        <v>90</v>
      </c>
      <c r="P94">
        <f>tblROIssues[[#This Row],[LaborHours_Billed]]*tblROIssues[[#This Row],[LaborRate]]</f>
        <v>405</v>
      </c>
      <c r="Q94">
        <f>tblROIssues[[#This Row],[LaborHours_Correct]]*tblROIssues[[#This Row],[LaborRate]]</f>
        <v>342</v>
      </c>
      <c r="R94">
        <f>tblROIssues[[#This Row],[LaborCost_Billed]]-tblROIssues[[#This Row],[LaborCost_Correct]]</f>
        <v>63</v>
      </c>
      <c r="S94" t="str">
        <f>IF(tblROIssues[[#This Row],[CostOvercharge]] &gt; 120, "High",
   IF(tblROIssues[[#This Row],[CostOvercharge]] &gt; 75, "Medium",
   IF(tblROIssues[[#This Row],[CostOvercharge]] &gt; 0, "Low", "None")))</f>
        <v>Low</v>
      </c>
    </row>
    <row r="95" spans="1:19" x14ac:dyDescent="0.25">
      <c r="A95">
        <v>5</v>
      </c>
      <c r="B95">
        <v>2343297</v>
      </c>
      <c r="C95" t="s">
        <v>30</v>
      </c>
      <c r="D95" t="s">
        <v>38</v>
      </c>
      <c r="E95" t="s">
        <v>41</v>
      </c>
      <c r="F95" t="s">
        <v>46</v>
      </c>
      <c r="G95" t="s">
        <v>59</v>
      </c>
      <c r="H95" t="s">
        <v>88</v>
      </c>
      <c r="I95">
        <v>1</v>
      </c>
      <c r="J95">
        <v>0.3</v>
      </c>
      <c r="K95">
        <v>370.14</v>
      </c>
      <c r="L95">
        <v>460.14</v>
      </c>
      <c r="M95" t="s">
        <v>115</v>
      </c>
      <c r="N95" t="s">
        <v>164</v>
      </c>
      <c r="O95">
        <f>90</f>
        <v>90</v>
      </c>
      <c r="P95">
        <f>tblROIssues[[#This Row],[LaborHours_Billed]]*tblROIssues[[#This Row],[LaborRate]]</f>
        <v>90</v>
      </c>
      <c r="Q95">
        <f>tblROIssues[[#This Row],[LaborHours_Correct]]*tblROIssues[[#This Row],[LaborRate]]</f>
        <v>27</v>
      </c>
      <c r="R95">
        <f>tblROIssues[[#This Row],[LaborCost_Billed]]-tblROIssues[[#This Row],[LaborCost_Correct]]</f>
        <v>63</v>
      </c>
      <c r="S95" t="str">
        <f>IF(tblROIssues[[#This Row],[CostOvercharge]] &gt; 120, "High",
   IF(tblROIssues[[#This Row],[CostOvercharge]] &gt; 75, "Medium",
   IF(tblROIssues[[#This Row],[CostOvercharge]] &gt; 0, "Low", "None")))</f>
        <v>Low</v>
      </c>
    </row>
    <row r="96" spans="1:19" x14ac:dyDescent="0.25">
      <c r="A96">
        <v>6</v>
      </c>
      <c r="B96">
        <v>2343433</v>
      </c>
      <c r="C96" t="s">
        <v>36</v>
      </c>
      <c r="D96" t="s">
        <v>38</v>
      </c>
      <c r="E96" t="s">
        <v>41</v>
      </c>
      <c r="F96" t="s">
        <v>54</v>
      </c>
      <c r="G96" t="s">
        <v>58</v>
      </c>
      <c r="H96" t="s">
        <v>97</v>
      </c>
      <c r="I96">
        <v>4</v>
      </c>
      <c r="J96">
        <v>3.3</v>
      </c>
      <c r="K96">
        <v>367.47</v>
      </c>
      <c r="L96">
        <v>727.47</v>
      </c>
      <c r="M96" t="s">
        <v>116</v>
      </c>
      <c r="N96" t="s">
        <v>127</v>
      </c>
      <c r="O96">
        <f>90</f>
        <v>90</v>
      </c>
      <c r="P96">
        <f>tblROIssues[[#This Row],[LaborHours_Billed]]*tblROIssues[[#This Row],[LaborRate]]</f>
        <v>360</v>
      </c>
      <c r="Q96">
        <f>tblROIssues[[#This Row],[LaborHours_Correct]]*tblROIssues[[#This Row],[LaborRate]]</f>
        <v>297</v>
      </c>
      <c r="R96">
        <f>tblROIssues[[#This Row],[LaborCost_Billed]]-tblROIssues[[#This Row],[LaborCost_Correct]]</f>
        <v>63</v>
      </c>
      <c r="S96" t="str">
        <f>IF(tblROIssues[[#This Row],[CostOvercharge]] &gt; 120, "High",
   IF(tblROIssues[[#This Row],[CostOvercharge]] &gt; 75, "Medium",
   IF(tblROIssues[[#This Row],[CostOvercharge]] &gt; 0, "Low", "None")))</f>
        <v>Low</v>
      </c>
    </row>
    <row r="97" spans="1:19" x14ac:dyDescent="0.25">
      <c r="A97">
        <v>6</v>
      </c>
      <c r="B97">
        <v>2343391</v>
      </c>
      <c r="C97" t="s">
        <v>21</v>
      </c>
      <c r="D97" t="s">
        <v>40</v>
      </c>
      <c r="E97" t="s">
        <v>43</v>
      </c>
      <c r="F97" t="s">
        <v>54</v>
      </c>
      <c r="G97" t="s">
        <v>58</v>
      </c>
      <c r="H97" t="s">
        <v>98</v>
      </c>
      <c r="I97">
        <v>1</v>
      </c>
      <c r="J97">
        <v>0.3</v>
      </c>
      <c r="K97">
        <v>36.11</v>
      </c>
      <c r="L97">
        <v>126.11</v>
      </c>
      <c r="M97" t="s">
        <v>116</v>
      </c>
      <c r="N97" t="s">
        <v>157</v>
      </c>
      <c r="O97">
        <f>90</f>
        <v>90</v>
      </c>
      <c r="P97">
        <f>tblROIssues[[#This Row],[LaborHours_Billed]]*tblROIssues[[#This Row],[LaborRate]]</f>
        <v>90</v>
      </c>
      <c r="Q97">
        <f>tblROIssues[[#This Row],[LaborHours_Correct]]*tblROIssues[[#This Row],[LaborRate]]</f>
        <v>27</v>
      </c>
      <c r="R97">
        <f>tblROIssues[[#This Row],[LaborCost_Billed]]-tblROIssues[[#This Row],[LaborCost_Correct]]</f>
        <v>63</v>
      </c>
      <c r="S97" t="str">
        <f>IF(tblROIssues[[#This Row],[CostOvercharge]] &gt; 120, "High",
   IF(tblROIssues[[#This Row],[CostOvercharge]] &gt; 75, "Medium",
   IF(tblROIssues[[#This Row],[CostOvercharge]] &gt; 0, "Low", "None")))</f>
        <v>Low</v>
      </c>
    </row>
    <row r="98" spans="1:19" x14ac:dyDescent="0.25">
      <c r="A98">
        <v>6</v>
      </c>
      <c r="B98">
        <v>2343429</v>
      </c>
      <c r="C98" t="s">
        <v>24</v>
      </c>
      <c r="D98" t="s">
        <v>37</v>
      </c>
      <c r="E98" t="s">
        <v>41</v>
      </c>
      <c r="F98" t="s">
        <v>49</v>
      </c>
      <c r="G98" t="s">
        <v>59</v>
      </c>
      <c r="H98" t="s">
        <v>99</v>
      </c>
      <c r="I98">
        <v>1</v>
      </c>
      <c r="J98">
        <v>0.3</v>
      </c>
      <c r="K98">
        <v>299.33999999999997</v>
      </c>
      <c r="L98">
        <v>389.34</v>
      </c>
      <c r="M98" t="s">
        <v>115</v>
      </c>
      <c r="N98" t="s">
        <v>120</v>
      </c>
      <c r="O98">
        <f>90</f>
        <v>90</v>
      </c>
      <c r="P98">
        <f>tblROIssues[[#This Row],[LaborHours_Billed]]*tblROIssues[[#This Row],[LaborRate]]</f>
        <v>90</v>
      </c>
      <c r="Q98">
        <f>tblROIssues[[#This Row],[LaborHours_Correct]]*tblROIssues[[#This Row],[LaborRate]]</f>
        <v>27</v>
      </c>
      <c r="R98">
        <f>tblROIssues[[#This Row],[LaborCost_Billed]]-tblROIssues[[#This Row],[LaborCost_Correct]]</f>
        <v>63</v>
      </c>
      <c r="S98" t="str">
        <f>IF(tblROIssues[[#This Row],[CostOvercharge]] &gt; 120, "High",
   IF(tblROIssues[[#This Row],[CostOvercharge]] &gt; 75, "Medium",
   IF(tblROIssues[[#This Row],[CostOvercharge]] &gt; 0, "Low", "None")))</f>
        <v>Low</v>
      </c>
    </row>
    <row r="99" spans="1:19" x14ac:dyDescent="0.25">
      <c r="A99">
        <v>7</v>
      </c>
      <c r="B99">
        <v>2343522</v>
      </c>
      <c r="C99" t="s">
        <v>29</v>
      </c>
      <c r="D99" t="s">
        <v>38</v>
      </c>
      <c r="E99" t="s">
        <v>45</v>
      </c>
      <c r="F99" t="s">
        <v>55</v>
      </c>
      <c r="G99" t="s">
        <v>58</v>
      </c>
      <c r="H99" t="s">
        <v>103</v>
      </c>
      <c r="I99">
        <v>1</v>
      </c>
      <c r="J99">
        <v>0.3</v>
      </c>
      <c r="K99">
        <v>296.52</v>
      </c>
      <c r="L99">
        <v>386.52</v>
      </c>
      <c r="M99" t="s">
        <v>115</v>
      </c>
      <c r="N99" t="s">
        <v>128</v>
      </c>
      <c r="O99">
        <f>90</f>
        <v>90</v>
      </c>
      <c r="P99">
        <f>tblROIssues[[#This Row],[LaborHours_Billed]]*tblROIssues[[#This Row],[LaborRate]]</f>
        <v>90</v>
      </c>
      <c r="Q99">
        <f>tblROIssues[[#This Row],[LaborHours_Correct]]*tblROIssues[[#This Row],[LaborRate]]</f>
        <v>27</v>
      </c>
      <c r="R99">
        <f>tblROIssues[[#This Row],[LaborCost_Billed]]-tblROIssues[[#This Row],[LaborCost_Correct]]</f>
        <v>63</v>
      </c>
      <c r="S99" t="str">
        <f>IF(tblROIssues[[#This Row],[CostOvercharge]] &gt; 120, "High",
   IF(tblROIssues[[#This Row],[CostOvercharge]] &gt; 75, "Medium",
   IF(tblROIssues[[#This Row],[CostOvercharge]] &gt; 0, "Low", "None")))</f>
        <v>Low</v>
      </c>
    </row>
    <row r="100" spans="1:19" x14ac:dyDescent="0.25">
      <c r="A100">
        <v>7</v>
      </c>
      <c r="B100">
        <v>2343525</v>
      </c>
      <c r="C100" t="s">
        <v>33</v>
      </c>
      <c r="D100" t="s">
        <v>38</v>
      </c>
      <c r="E100" t="s">
        <v>45</v>
      </c>
      <c r="F100" t="s">
        <v>49</v>
      </c>
      <c r="G100" t="s">
        <v>58</v>
      </c>
      <c r="H100" t="s">
        <v>106</v>
      </c>
      <c r="I100">
        <v>1</v>
      </c>
      <c r="J100">
        <v>0.3</v>
      </c>
      <c r="K100">
        <v>107.18</v>
      </c>
      <c r="L100">
        <v>197.18</v>
      </c>
      <c r="M100" t="s">
        <v>115</v>
      </c>
      <c r="N100" t="s">
        <v>184</v>
      </c>
      <c r="O100">
        <f>90</f>
        <v>90</v>
      </c>
      <c r="P100">
        <f>tblROIssues[[#This Row],[LaborHours_Billed]]*tblROIssues[[#This Row],[LaborRate]]</f>
        <v>90</v>
      </c>
      <c r="Q100">
        <f>tblROIssues[[#This Row],[LaborHours_Correct]]*tblROIssues[[#This Row],[LaborRate]]</f>
        <v>27</v>
      </c>
      <c r="R100">
        <f>tblROIssues[[#This Row],[LaborCost_Billed]]-tblROIssues[[#This Row],[LaborCost_Correct]]</f>
        <v>63</v>
      </c>
      <c r="S100" t="str">
        <f>IF(tblROIssues[[#This Row],[CostOvercharge]] &gt; 120, "High",
   IF(tblROIssues[[#This Row],[CostOvercharge]] &gt; 75, "Medium",
   IF(tblROIssues[[#This Row],[CostOvercharge]] &gt; 0, "Low", "None")))</f>
        <v>Low</v>
      </c>
    </row>
    <row r="101" spans="1:19" x14ac:dyDescent="0.25">
      <c r="A101">
        <v>5</v>
      </c>
      <c r="B101">
        <v>2343304</v>
      </c>
      <c r="C101" t="s">
        <v>32</v>
      </c>
      <c r="D101" t="s">
        <v>38</v>
      </c>
      <c r="E101" t="s">
        <v>43</v>
      </c>
      <c r="F101" t="s">
        <v>46</v>
      </c>
      <c r="G101" t="s">
        <v>59</v>
      </c>
      <c r="H101" t="s">
        <v>91</v>
      </c>
      <c r="I101">
        <v>2.2999999999999998</v>
      </c>
      <c r="J101">
        <v>1.6</v>
      </c>
      <c r="K101">
        <v>123.03</v>
      </c>
      <c r="L101">
        <v>330.03</v>
      </c>
      <c r="M101" t="s">
        <v>115</v>
      </c>
      <c r="N101" t="s">
        <v>167</v>
      </c>
      <c r="O101">
        <f>90</f>
        <v>90</v>
      </c>
      <c r="P101">
        <f>tblROIssues[[#This Row],[LaborHours_Billed]]*tblROIssues[[#This Row],[LaborRate]]</f>
        <v>206.99999999999997</v>
      </c>
      <c r="Q101">
        <f>tblROIssues[[#This Row],[LaborHours_Correct]]*tblROIssues[[#This Row],[LaborRate]]</f>
        <v>144</v>
      </c>
      <c r="R101">
        <f>tblROIssues[[#This Row],[LaborCost_Billed]]-tblROIssues[[#This Row],[LaborCost_Correct]]</f>
        <v>62.999999999999972</v>
      </c>
      <c r="S101" t="str">
        <f>IF(tblROIssues[[#This Row],[CostOvercharge]] &gt; 120, "High",
   IF(tblROIssues[[#This Row],[CostOvercharge]] &gt; 75, "Medium",
   IF(tblROIssues[[#This Row],[CostOvercharge]] &gt; 0, "Low", "None")))</f>
        <v>Low</v>
      </c>
    </row>
    <row r="102" spans="1:19" x14ac:dyDescent="0.25">
      <c r="A102">
        <v>5</v>
      </c>
      <c r="B102">
        <v>2343303</v>
      </c>
      <c r="C102" t="s">
        <v>35</v>
      </c>
      <c r="D102" t="s">
        <v>39</v>
      </c>
      <c r="E102" t="s">
        <v>41</v>
      </c>
      <c r="F102" t="s">
        <v>47</v>
      </c>
      <c r="G102" t="s">
        <v>59</v>
      </c>
      <c r="H102" t="s">
        <v>88</v>
      </c>
      <c r="I102">
        <v>2.8</v>
      </c>
      <c r="J102">
        <v>2.1</v>
      </c>
      <c r="K102">
        <v>436.46</v>
      </c>
      <c r="L102">
        <v>688.46</v>
      </c>
      <c r="M102" t="s">
        <v>116</v>
      </c>
      <c r="N102" t="s">
        <v>166</v>
      </c>
      <c r="O102">
        <f>90</f>
        <v>90</v>
      </c>
      <c r="P102">
        <f>tblROIssues[[#This Row],[LaborHours_Billed]]*tblROIssues[[#This Row],[LaborRate]]</f>
        <v>251.99999999999997</v>
      </c>
      <c r="Q102">
        <f>tblROIssues[[#This Row],[LaborHours_Correct]]*tblROIssues[[#This Row],[LaborRate]]</f>
        <v>189</v>
      </c>
      <c r="R102">
        <f>tblROIssues[[#This Row],[LaborCost_Billed]]-tblROIssues[[#This Row],[LaborCost_Correct]]</f>
        <v>62.999999999999972</v>
      </c>
      <c r="S102" t="str">
        <f>IF(tblROIssues[[#This Row],[CostOvercharge]] &gt; 120, "High",
   IF(tblROIssues[[#This Row],[CostOvercharge]] &gt; 75, "Medium",
   IF(tblROIssues[[#This Row],[CostOvercharge]] &gt; 0, "Low", "None")))</f>
        <v>Low</v>
      </c>
    </row>
    <row r="103" spans="1:19" x14ac:dyDescent="0.25">
      <c r="A103">
        <v>5</v>
      </c>
      <c r="B103">
        <v>2343323</v>
      </c>
      <c r="C103" t="s">
        <v>30</v>
      </c>
      <c r="D103" t="s">
        <v>38</v>
      </c>
      <c r="E103" t="s">
        <v>43</v>
      </c>
      <c r="F103" t="s">
        <v>47</v>
      </c>
      <c r="G103" t="s">
        <v>58</v>
      </c>
      <c r="H103" t="s">
        <v>88</v>
      </c>
      <c r="I103">
        <v>2.8</v>
      </c>
      <c r="J103">
        <v>2.1</v>
      </c>
      <c r="K103">
        <v>196.86</v>
      </c>
      <c r="L103">
        <v>448.86</v>
      </c>
      <c r="M103" t="s">
        <v>115</v>
      </c>
      <c r="N103" t="s">
        <v>118</v>
      </c>
      <c r="O103">
        <f>90</f>
        <v>90</v>
      </c>
      <c r="P103">
        <f>tblROIssues[[#This Row],[LaborHours_Billed]]*tblROIssues[[#This Row],[LaborRate]]</f>
        <v>251.99999999999997</v>
      </c>
      <c r="Q103">
        <f>tblROIssues[[#This Row],[LaborHours_Correct]]*tblROIssues[[#This Row],[LaborRate]]</f>
        <v>189</v>
      </c>
      <c r="R103">
        <f>tblROIssues[[#This Row],[LaborCost_Billed]]-tblROIssues[[#This Row],[LaborCost_Correct]]</f>
        <v>62.999999999999972</v>
      </c>
      <c r="S103" t="str">
        <f>IF(tblROIssues[[#This Row],[CostOvercharge]] &gt; 120, "High",
   IF(tblROIssues[[#This Row],[CostOvercharge]] &gt; 75, "Medium",
   IF(tblROIssues[[#This Row],[CostOvercharge]] &gt; 0, "Low", "None")))</f>
        <v>Low</v>
      </c>
    </row>
    <row r="104" spans="1:19" x14ac:dyDescent="0.25">
      <c r="A104">
        <v>4</v>
      </c>
      <c r="B104">
        <v>2343241</v>
      </c>
      <c r="C104" t="s">
        <v>24</v>
      </c>
      <c r="D104" t="s">
        <v>40</v>
      </c>
      <c r="E104" t="s">
        <v>44</v>
      </c>
      <c r="F104" t="s">
        <v>48</v>
      </c>
      <c r="G104" t="s">
        <v>59</v>
      </c>
      <c r="H104" t="s">
        <v>85</v>
      </c>
      <c r="I104">
        <v>4.0999999999999996</v>
      </c>
      <c r="J104">
        <v>3.4</v>
      </c>
      <c r="K104">
        <v>4.88</v>
      </c>
      <c r="L104">
        <v>373.88</v>
      </c>
      <c r="M104" t="s">
        <v>116</v>
      </c>
      <c r="N104" t="s">
        <v>129</v>
      </c>
      <c r="O104">
        <f>90</f>
        <v>90</v>
      </c>
      <c r="P104">
        <f>tblROIssues[[#This Row],[LaborHours_Billed]]*tblROIssues[[#This Row],[LaborRate]]</f>
        <v>368.99999999999994</v>
      </c>
      <c r="Q104">
        <f>tblROIssues[[#This Row],[LaborHours_Correct]]*tblROIssues[[#This Row],[LaborRate]]</f>
        <v>306</v>
      </c>
      <c r="R104">
        <f>tblROIssues[[#This Row],[LaborCost_Billed]]-tblROIssues[[#This Row],[LaborCost_Correct]]</f>
        <v>62.999999999999943</v>
      </c>
      <c r="S104" t="str">
        <f>IF(tblROIssues[[#This Row],[CostOvercharge]] &gt; 120, "High",
   IF(tblROIssues[[#This Row],[CostOvercharge]] &gt; 75, "Medium",
   IF(tblROIssues[[#This Row],[CostOvercharge]] &gt; 0, "Low", "None")))</f>
        <v>Low</v>
      </c>
    </row>
    <row r="105" spans="1:19" x14ac:dyDescent="0.25">
      <c r="A105">
        <v>7</v>
      </c>
      <c r="B105">
        <v>2343441</v>
      </c>
      <c r="C105" t="s">
        <v>35</v>
      </c>
      <c r="D105" t="s">
        <v>37</v>
      </c>
      <c r="E105" t="s">
        <v>41</v>
      </c>
      <c r="F105" t="s">
        <v>53</v>
      </c>
      <c r="G105" t="s">
        <v>58</v>
      </c>
      <c r="H105" t="s">
        <v>102</v>
      </c>
      <c r="I105">
        <v>4.0999999999999996</v>
      </c>
      <c r="J105">
        <v>3.4</v>
      </c>
      <c r="K105">
        <v>244.6</v>
      </c>
      <c r="L105">
        <v>613.6</v>
      </c>
      <c r="M105" t="s">
        <v>115</v>
      </c>
      <c r="N105" t="s">
        <v>125</v>
      </c>
      <c r="O105">
        <f>90</f>
        <v>90</v>
      </c>
      <c r="P105">
        <f>tblROIssues[[#This Row],[LaborHours_Billed]]*tblROIssues[[#This Row],[LaborRate]]</f>
        <v>368.99999999999994</v>
      </c>
      <c r="Q105">
        <f>tblROIssues[[#This Row],[LaborHours_Correct]]*tblROIssues[[#This Row],[LaborRate]]</f>
        <v>306</v>
      </c>
      <c r="R105">
        <f>tblROIssues[[#This Row],[LaborCost_Billed]]-tblROIssues[[#This Row],[LaborCost_Correct]]</f>
        <v>62.999999999999943</v>
      </c>
      <c r="S105" t="str">
        <f>IF(tblROIssues[[#This Row],[CostOvercharge]] &gt; 120, "High",
   IF(tblROIssues[[#This Row],[CostOvercharge]] &gt; 75, "Medium",
   IF(tblROIssues[[#This Row],[CostOvercharge]] &gt; 0, "Low", "None")))</f>
        <v>Low</v>
      </c>
    </row>
    <row r="106" spans="1:19" x14ac:dyDescent="0.25">
      <c r="A106">
        <v>2</v>
      </c>
      <c r="B106">
        <v>2343129</v>
      </c>
      <c r="C106" t="s">
        <v>31</v>
      </c>
      <c r="D106" t="s">
        <v>39</v>
      </c>
      <c r="E106" t="s">
        <v>41</v>
      </c>
      <c r="F106" t="s">
        <v>47</v>
      </c>
      <c r="G106" t="s">
        <v>58</v>
      </c>
      <c r="H106" t="s">
        <v>73</v>
      </c>
      <c r="I106">
        <v>1.3</v>
      </c>
      <c r="J106">
        <v>0.7</v>
      </c>
      <c r="K106">
        <v>335.92</v>
      </c>
      <c r="L106">
        <v>452.92</v>
      </c>
      <c r="M106" t="s">
        <v>115</v>
      </c>
      <c r="N106" t="s">
        <v>142</v>
      </c>
      <c r="O106">
        <f>90</f>
        <v>90</v>
      </c>
      <c r="P106">
        <f>tblROIssues[[#This Row],[LaborHours_Billed]]*tblROIssues[[#This Row],[LaborRate]]</f>
        <v>117</v>
      </c>
      <c r="Q106">
        <f>tblROIssues[[#This Row],[LaborHours_Correct]]*tblROIssues[[#This Row],[LaborRate]]</f>
        <v>62.999999999999993</v>
      </c>
      <c r="R106">
        <f>tblROIssues[[#This Row],[LaborCost_Billed]]-tblROIssues[[#This Row],[LaborCost_Correct]]</f>
        <v>54.000000000000007</v>
      </c>
      <c r="S106" t="str">
        <f>IF(tblROIssues[[#This Row],[CostOvercharge]] &gt; 120, "High",
   IF(tblROIssues[[#This Row],[CostOvercharge]] &gt; 75, "Medium",
   IF(tblROIssues[[#This Row],[CostOvercharge]] &gt; 0, "Low", "None")))</f>
        <v>Low</v>
      </c>
    </row>
    <row r="107" spans="1:19" x14ac:dyDescent="0.25">
      <c r="A107">
        <v>1</v>
      </c>
      <c r="B107">
        <v>2343025</v>
      </c>
      <c r="C107" t="s">
        <v>16</v>
      </c>
      <c r="D107" t="s">
        <v>37</v>
      </c>
      <c r="E107" t="s">
        <v>41</v>
      </c>
      <c r="F107" t="s">
        <v>49</v>
      </c>
      <c r="G107" t="s">
        <v>59</v>
      </c>
      <c r="H107" t="s">
        <v>60</v>
      </c>
      <c r="I107">
        <v>3.1</v>
      </c>
      <c r="J107">
        <v>2.5</v>
      </c>
      <c r="K107">
        <v>234.03</v>
      </c>
      <c r="L107">
        <v>513.03</v>
      </c>
      <c r="M107" t="s">
        <v>115</v>
      </c>
      <c r="N107" t="s">
        <v>120</v>
      </c>
      <c r="O107">
        <f>90</f>
        <v>90</v>
      </c>
      <c r="P107">
        <f>tblROIssues[[#This Row],[LaborHours_Billed]]*tblROIssues[[#This Row],[LaborRate]]</f>
        <v>279</v>
      </c>
      <c r="Q107">
        <f>tblROIssues[[#This Row],[LaborHours_Correct]]*tblROIssues[[#This Row],[LaborRate]]</f>
        <v>225</v>
      </c>
      <c r="R107">
        <f>tblROIssues[[#This Row],[LaborCost_Billed]]-tblROIssues[[#This Row],[LaborCost_Correct]]</f>
        <v>54</v>
      </c>
      <c r="S107" t="str">
        <f>IF(tblROIssues[[#This Row],[CostOvercharge]] &gt; 120, "High",
   IF(tblROIssues[[#This Row],[CostOvercharge]] &gt; 75, "Medium",
   IF(tblROIssues[[#This Row],[CostOvercharge]] &gt; 0, "Low", "None")))</f>
        <v>Low</v>
      </c>
    </row>
    <row r="108" spans="1:19" x14ac:dyDescent="0.25">
      <c r="A108">
        <v>2</v>
      </c>
      <c r="B108">
        <v>2343096</v>
      </c>
      <c r="C108" t="s">
        <v>16</v>
      </c>
      <c r="D108" t="s">
        <v>39</v>
      </c>
      <c r="E108" t="s">
        <v>43</v>
      </c>
      <c r="F108" t="s">
        <v>48</v>
      </c>
      <c r="G108" t="s">
        <v>58</v>
      </c>
      <c r="H108" t="s">
        <v>70</v>
      </c>
      <c r="I108">
        <v>3.8</v>
      </c>
      <c r="J108">
        <v>3.2</v>
      </c>
      <c r="K108">
        <v>83.93</v>
      </c>
      <c r="L108">
        <v>425.93</v>
      </c>
      <c r="M108" t="s">
        <v>115</v>
      </c>
      <c r="N108" t="s">
        <v>119</v>
      </c>
      <c r="O108">
        <f>90</f>
        <v>90</v>
      </c>
      <c r="P108">
        <f>tblROIssues[[#This Row],[LaborHours_Billed]]*tblROIssues[[#This Row],[LaborRate]]</f>
        <v>342</v>
      </c>
      <c r="Q108">
        <f>tblROIssues[[#This Row],[LaborHours_Correct]]*tblROIssues[[#This Row],[LaborRate]]</f>
        <v>288</v>
      </c>
      <c r="R108">
        <f>tblROIssues[[#This Row],[LaborCost_Billed]]-tblROIssues[[#This Row],[LaborCost_Correct]]</f>
        <v>54</v>
      </c>
      <c r="S108" t="str">
        <f>IF(tblROIssues[[#This Row],[CostOvercharge]] &gt; 120, "High",
   IF(tblROIssues[[#This Row],[CostOvercharge]] &gt; 75, "Medium",
   IF(tblROIssues[[#This Row],[CostOvercharge]] &gt; 0, "Low", "None")))</f>
        <v>Low</v>
      </c>
    </row>
    <row r="109" spans="1:19" x14ac:dyDescent="0.25">
      <c r="A109">
        <v>3</v>
      </c>
      <c r="B109">
        <v>2343162</v>
      </c>
      <c r="C109" t="s">
        <v>35</v>
      </c>
      <c r="D109" t="s">
        <v>37</v>
      </c>
      <c r="E109" t="s">
        <v>43</v>
      </c>
      <c r="F109" t="s">
        <v>46</v>
      </c>
      <c r="G109" t="s">
        <v>59</v>
      </c>
      <c r="H109" t="s">
        <v>75</v>
      </c>
      <c r="I109">
        <v>4</v>
      </c>
      <c r="J109">
        <v>3.4</v>
      </c>
      <c r="K109">
        <v>169.01</v>
      </c>
      <c r="L109">
        <v>529.01</v>
      </c>
      <c r="M109" t="s">
        <v>115</v>
      </c>
      <c r="N109" t="s">
        <v>117</v>
      </c>
      <c r="O109">
        <f>90</f>
        <v>90</v>
      </c>
      <c r="P109">
        <f>tblROIssues[[#This Row],[LaborHours_Billed]]*tblROIssues[[#This Row],[LaborRate]]</f>
        <v>360</v>
      </c>
      <c r="Q109">
        <f>tblROIssues[[#This Row],[LaborHours_Correct]]*tblROIssues[[#This Row],[LaborRate]]</f>
        <v>306</v>
      </c>
      <c r="R109">
        <f>tblROIssues[[#This Row],[LaborCost_Billed]]-tblROIssues[[#This Row],[LaborCost_Correct]]</f>
        <v>54</v>
      </c>
      <c r="S109" t="str">
        <f>IF(tblROIssues[[#This Row],[CostOvercharge]] &gt; 120, "High",
   IF(tblROIssues[[#This Row],[CostOvercharge]] &gt; 75, "Medium",
   IF(tblROIssues[[#This Row],[CostOvercharge]] &gt; 0, "Low", "None")))</f>
        <v>Low</v>
      </c>
    </row>
    <row r="110" spans="1:19" x14ac:dyDescent="0.25">
      <c r="A110">
        <v>4</v>
      </c>
      <c r="B110">
        <v>2343257</v>
      </c>
      <c r="C110" t="s">
        <v>14</v>
      </c>
      <c r="D110" t="s">
        <v>37</v>
      </c>
      <c r="E110" t="s">
        <v>41</v>
      </c>
      <c r="F110" t="s">
        <v>49</v>
      </c>
      <c r="G110" t="s">
        <v>58</v>
      </c>
      <c r="H110" t="s">
        <v>82</v>
      </c>
      <c r="I110">
        <v>0.9</v>
      </c>
      <c r="J110">
        <v>0.3</v>
      </c>
      <c r="K110">
        <v>278.2</v>
      </c>
      <c r="L110">
        <v>359.2</v>
      </c>
      <c r="M110" t="s">
        <v>115</v>
      </c>
      <c r="N110" t="s">
        <v>120</v>
      </c>
      <c r="O110">
        <f>90</f>
        <v>90</v>
      </c>
      <c r="P110">
        <f>tblROIssues[[#This Row],[LaborHours_Billed]]*tblROIssues[[#This Row],[LaborRate]]</f>
        <v>81</v>
      </c>
      <c r="Q110">
        <f>tblROIssues[[#This Row],[LaborHours_Correct]]*tblROIssues[[#This Row],[LaborRate]]</f>
        <v>27</v>
      </c>
      <c r="R110">
        <f>tblROIssues[[#This Row],[LaborCost_Billed]]-tblROIssues[[#This Row],[LaborCost_Correct]]</f>
        <v>54</v>
      </c>
      <c r="S110" t="str">
        <f>IF(tblROIssues[[#This Row],[CostOvercharge]] &gt; 120, "High",
   IF(tblROIssues[[#This Row],[CostOvercharge]] &gt; 75, "Medium",
   IF(tblROIssues[[#This Row],[CostOvercharge]] &gt; 0, "Low", "None")))</f>
        <v>Low</v>
      </c>
    </row>
    <row r="111" spans="1:19" x14ac:dyDescent="0.25">
      <c r="A111">
        <v>5</v>
      </c>
      <c r="B111">
        <v>2343342</v>
      </c>
      <c r="C111" t="s">
        <v>14</v>
      </c>
      <c r="D111" t="s">
        <v>39</v>
      </c>
      <c r="E111" t="s">
        <v>44</v>
      </c>
      <c r="F111" t="s">
        <v>50</v>
      </c>
      <c r="G111" t="s">
        <v>59</v>
      </c>
      <c r="H111" t="s">
        <v>89</v>
      </c>
      <c r="I111">
        <v>0.9</v>
      </c>
      <c r="J111">
        <v>0.3</v>
      </c>
      <c r="K111">
        <v>81.849999999999994</v>
      </c>
      <c r="L111">
        <v>162.85</v>
      </c>
      <c r="M111" t="s">
        <v>115</v>
      </c>
      <c r="N111" t="s">
        <v>121</v>
      </c>
      <c r="O111">
        <f>90</f>
        <v>90</v>
      </c>
      <c r="P111">
        <f>tblROIssues[[#This Row],[LaborHours_Billed]]*tblROIssues[[#This Row],[LaborRate]]</f>
        <v>81</v>
      </c>
      <c r="Q111">
        <f>tblROIssues[[#This Row],[LaborHours_Correct]]*tblROIssues[[#This Row],[LaborRate]]</f>
        <v>27</v>
      </c>
      <c r="R111">
        <f>tblROIssues[[#This Row],[LaborCost_Billed]]-tblROIssues[[#This Row],[LaborCost_Correct]]</f>
        <v>54</v>
      </c>
      <c r="S111" t="str">
        <f>IF(tblROIssues[[#This Row],[CostOvercharge]] &gt; 120, "High",
   IF(tblROIssues[[#This Row],[CostOvercharge]] &gt; 75, "Medium",
   IF(tblROIssues[[#This Row],[CostOvercharge]] &gt; 0, "Low", "None")))</f>
        <v>Low</v>
      </c>
    </row>
    <row r="112" spans="1:19" x14ac:dyDescent="0.25">
      <c r="A112">
        <v>6</v>
      </c>
      <c r="B112">
        <v>2343412</v>
      </c>
      <c r="C112" t="s">
        <v>14</v>
      </c>
      <c r="D112" t="s">
        <v>39</v>
      </c>
      <c r="E112" t="s">
        <v>43</v>
      </c>
      <c r="F112" t="s">
        <v>56</v>
      </c>
      <c r="G112" t="s">
        <v>58</v>
      </c>
      <c r="H112" t="s">
        <v>99</v>
      </c>
      <c r="I112">
        <v>4.5</v>
      </c>
      <c r="J112">
        <v>3.9</v>
      </c>
      <c r="K112">
        <v>364.44</v>
      </c>
      <c r="L112">
        <v>769.44</v>
      </c>
      <c r="M112" t="s">
        <v>116</v>
      </c>
      <c r="N112" t="s">
        <v>169</v>
      </c>
      <c r="O112">
        <f>90</f>
        <v>90</v>
      </c>
      <c r="P112">
        <f>tblROIssues[[#This Row],[LaborHours_Billed]]*tblROIssues[[#This Row],[LaborRate]]</f>
        <v>405</v>
      </c>
      <c r="Q112">
        <f>tblROIssues[[#This Row],[LaborHours_Correct]]*tblROIssues[[#This Row],[LaborRate]]</f>
        <v>351</v>
      </c>
      <c r="R112">
        <f>tblROIssues[[#This Row],[LaborCost_Billed]]-tblROIssues[[#This Row],[LaborCost_Correct]]</f>
        <v>54</v>
      </c>
      <c r="S112" t="str">
        <f>IF(tblROIssues[[#This Row],[CostOvercharge]] &gt; 120, "High",
   IF(tblROIssues[[#This Row],[CostOvercharge]] &gt; 75, "Medium",
   IF(tblROIssues[[#This Row],[CostOvercharge]] &gt; 0, "Low", "None")))</f>
        <v>Low</v>
      </c>
    </row>
    <row r="113" spans="1:19" x14ac:dyDescent="0.25">
      <c r="A113">
        <v>7</v>
      </c>
      <c r="B113">
        <v>2343449</v>
      </c>
      <c r="C113" t="s">
        <v>15</v>
      </c>
      <c r="D113" t="s">
        <v>40</v>
      </c>
      <c r="E113" t="s">
        <v>41</v>
      </c>
      <c r="F113" t="s">
        <v>49</v>
      </c>
      <c r="G113" t="s">
        <v>58</v>
      </c>
      <c r="H113" t="s">
        <v>104</v>
      </c>
      <c r="I113">
        <v>0.9</v>
      </c>
      <c r="J113">
        <v>0.3</v>
      </c>
      <c r="K113">
        <v>111.82</v>
      </c>
      <c r="L113">
        <v>192.82</v>
      </c>
      <c r="M113" t="s">
        <v>116</v>
      </c>
      <c r="N113" t="s">
        <v>123</v>
      </c>
      <c r="O113">
        <f>90</f>
        <v>90</v>
      </c>
      <c r="P113">
        <f>tblROIssues[[#This Row],[LaborHours_Billed]]*tblROIssues[[#This Row],[LaborRate]]</f>
        <v>81</v>
      </c>
      <c r="Q113">
        <f>tblROIssues[[#This Row],[LaborHours_Correct]]*tblROIssues[[#This Row],[LaborRate]]</f>
        <v>27</v>
      </c>
      <c r="R113">
        <f>tblROIssues[[#This Row],[LaborCost_Billed]]-tblROIssues[[#This Row],[LaborCost_Correct]]</f>
        <v>54</v>
      </c>
      <c r="S113" t="str">
        <f>IF(tblROIssues[[#This Row],[CostOvercharge]] &gt; 120, "High",
   IF(tblROIssues[[#This Row],[CostOvercharge]] &gt; 75, "Medium",
   IF(tblROIssues[[#This Row],[CostOvercharge]] &gt; 0, "Low", "None")))</f>
        <v>Low</v>
      </c>
    </row>
    <row r="114" spans="1:19" x14ac:dyDescent="0.25">
      <c r="A114">
        <v>7</v>
      </c>
      <c r="B114">
        <v>2343465</v>
      </c>
      <c r="C114" t="s">
        <v>29</v>
      </c>
      <c r="D114" t="s">
        <v>40</v>
      </c>
      <c r="E114" t="s">
        <v>45</v>
      </c>
      <c r="F114" t="s">
        <v>51</v>
      </c>
      <c r="G114" t="s">
        <v>58</v>
      </c>
      <c r="H114" t="s">
        <v>107</v>
      </c>
      <c r="I114">
        <v>0.9</v>
      </c>
      <c r="J114">
        <v>0.3</v>
      </c>
      <c r="K114">
        <v>227.65</v>
      </c>
      <c r="L114">
        <v>308.64999999999998</v>
      </c>
      <c r="M114" t="s">
        <v>116</v>
      </c>
      <c r="N114" t="s">
        <v>176</v>
      </c>
      <c r="O114">
        <f>90</f>
        <v>90</v>
      </c>
      <c r="P114">
        <f>tblROIssues[[#This Row],[LaborHours_Billed]]*tblROIssues[[#This Row],[LaborRate]]</f>
        <v>81</v>
      </c>
      <c r="Q114">
        <f>tblROIssues[[#This Row],[LaborHours_Correct]]*tblROIssues[[#This Row],[LaborRate]]</f>
        <v>27</v>
      </c>
      <c r="R114">
        <f>tblROIssues[[#This Row],[LaborCost_Billed]]-tblROIssues[[#This Row],[LaborCost_Correct]]</f>
        <v>54</v>
      </c>
      <c r="S114" t="str">
        <f>IF(tblROIssues[[#This Row],[CostOvercharge]] &gt; 120, "High",
   IF(tblROIssues[[#This Row],[CostOvercharge]] &gt; 75, "Medium",
   IF(tblROIssues[[#This Row],[CostOvercharge]] &gt; 0, "Low", "None")))</f>
        <v>Low</v>
      </c>
    </row>
    <row r="115" spans="1:19" x14ac:dyDescent="0.25">
      <c r="A115">
        <v>7</v>
      </c>
      <c r="B115">
        <v>2343490</v>
      </c>
      <c r="C115" t="s">
        <v>25</v>
      </c>
      <c r="D115" t="s">
        <v>39</v>
      </c>
      <c r="E115" t="s">
        <v>43</v>
      </c>
      <c r="F115" t="s">
        <v>52</v>
      </c>
      <c r="G115" t="s">
        <v>58</v>
      </c>
      <c r="H115" t="s">
        <v>105</v>
      </c>
      <c r="I115">
        <v>4.2</v>
      </c>
      <c r="J115">
        <v>3.6</v>
      </c>
      <c r="K115">
        <v>156.13</v>
      </c>
      <c r="L115">
        <v>534.13</v>
      </c>
      <c r="M115" t="s">
        <v>115</v>
      </c>
      <c r="N115" t="s">
        <v>124</v>
      </c>
      <c r="O115">
        <f>90</f>
        <v>90</v>
      </c>
      <c r="P115">
        <f>tblROIssues[[#This Row],[LaborHours_Billed]]*tblROIssues[[#This Row],[LaborRate]]</f>
        <v>378</v>
      </c>
      <c r="Q115">
        <f>tblROIssues[[#This Row],[LaborHours_Correct]]*tblROIssues[[#This Row],[LaborRate]]</f>
        <v>324</v>
      </c>
      <c r="R115">
        <f>tblROIssues[[#This Row],[LaborCost_Billed]]-tblROIssues[[#This Row],[LaborCost_Correct]]</f>
        <v>54</v>
      </c>
      <c r="S115" t="str">
        <f>IF(tblROIssues[[#This Row],[CostOvercharge]] &gt; 120, "High",
   IF(tblROIssues[[#This Row],[CostOvercharge]] &gt; 75, "Medium",
   IF(tblROIssues[[#This Row],[CostOvercharge]] &gt; 0, "Low", "None")))</f>
        <v>Low</v>
      </c>
    </row>
    <row r="116" spans="1:19" x14ac:dyDescent="0.25">
      <c r="A116">
        <v>8</v>
      </c>
      <c r="B116">
        <v>2343551</v>
      </c>
      <c r="C116" t="s">
        <v>23</v>
      </c>
      <c r="D116" t="s">
        <v>38</v>
      </c>
      <c r="E116" t="s">
        <v>41</v>
      </c>
      <c r="F116" t="s">
        <v>46</v>
      </c>
      <c r="G116" t="s">
        <v>59</v>
      </c>
      <c r="H116" t="s">
        <v>109</v>
      </c>
      <c r="I116">
        <v>0.9</v>
      </c>
      <c r="J116">
        <v>0.3</v>
      </c>
      <c r="K116">
        <v>442.98</v>
      </c>
      <c r="L116">
        <v>523.98</v>
      </c>
      <c r="M116" t="s">
        <v>115</v>
      </c>
      <c r="N116" t="s">
        <v>185</v>
      </c>
      <c r="O116">
        <f>90</f>
        <v>90</v>
      </c>
      <c r="P116">
        <f>tblROIssues[[#This Row],[LaborHours_Billed]]*tblROIssues[[#This Row],[LaborRate]]</f>
        <v>81</v>
      </c>
      <c r="Q116">
        <f>tblROIssues[[#This Row],[LaborHours_Correct]]*tblROIssues[[#This Row],[LaborRate]]</f>
        <v>27</v>
      </c>
      <c r="R116">
        <f>tblROIssues[[#This Row],[LaborCost_Billed]]-tblROIssues[[#This Row],[LaborCost_Correct]]</f>
        <v>54</v>
      </c>
      <c r="S116" t="str">
        <f>IF(tblROIssues[[#This Row],[CostOvercharge]] &gt; 120, "High",
   IF(tblROIssues[[#This Row],[CostOvercharge]] &gt; 75, "Medium",
   IF(tblROIssues[[#This Row],[CostOvercharge]] &gt; 0, "Low", "None")))</f>
        <v>Low</v>
      </c>
    </row>
    <row r="117" spans="1:19" x14ac:dyDescent="0.25">
      <c r="A117">
        <v>2</v>
      </c>
      <c r="B117">
        <v>2343142</v>
      </c>
      <c r="C117" t="s">
        <v>34</v>
      </c>
      <c r="D117" t="s">
        <v>37</v>
      </c>
      <c r="E117" t="s">
        <v>43</v>
      </c>
      <c r="F117" t="s">
        <v>48</v>
      </c>
      <c r="G117" t="s">
        <v>58</v>
      </c>
      <c r="H117" t="s">
        <v>72</v>
      </c>
      <c r="I117">
        <v>3.3</v>
      </c>
      <c r="J117">
        <v>2.8</v>
      </c>
      <c r="K117">
        <v>10.94</v>
      </c>
      <c r="L117">
        <v>307.94</v>
      </c>
      <c r="M117" t="s">
        <v>115</v>
      </c>
      <c r="N117" t="s">
        <v>145</v>
      </c>
      <c r="O117">
        <f>90</f>
        <v>90</v>
      </c>
      <c r="P117">
        <f>tblROIssues[[#This Row],[LaborHours_Billed]]*tblROIssues[[#This Row],[LaborRate]]</f>
        <v>297</v>
      </c>
      <c r="Q117">
        <f>tblROIssues[[#This Row],[LaborHours_Correct]]*tblROIssues[[#This Row],[LaborRate]]</f>
        <v>251.99999999999997</v>
      </c>
      <c r="R117">
        <f>tblROIssues[[#This Row],[LaborCost_Billed]]-tblROIssues[[#This Row],[LaborCost_Correct]]</f>
        <v>45.000000000000028</v>
      </c>
      <c r="S117" t="str">
        <f>IF(tblROIssues[[#This Row],[CostOvercharge]] &gt; 120, "High",
   IF(tblROIssues[[#This Row],[CostOvercharge]] &gt; 75, "Medium",
   IF(tblROIssues[[#This Row],[CostOvercharge]] &gt; 0, "Low", "None")))</f>
        <v>Low</v>
      </c>
    </row>
    <row r="118" spans="1:19" x14ac:dyDescent="0.25">
      <c r="A118">
        <v>4</v>
      </c>
      <c r="B118">
        <v>2343249</v>
      </c>
      <c r="C118" t="s">
        <v>21</v>
      </c>
      <c r="D118" t="s">
        <v>38</v>
      </c>
      <c r="E118" t="s">
        <v>45</v>
      </c>
      <c r="F118" t="s">
        <v>56</v>
      </c>
      <c r="G118" t="s">
        <v>59</v>
      </c>
      <c r="H118" t="s">
        <v>81</v>
      </c>
      <c r="I118">
        <v>2.2000000000000002</v>
      </c>
      <c r="J118">
        <v>1.7</v>
      </c>
      <c r="K118">
        <v>147.9</v>
      </c>
      <c r="L118">
        <v>345.9</v>
      </c>
      <c r="M118" t="s">
        <v>115</v>
      </c>
      <c r="N118" t="s">
        <v>134</v>
      </c>
      <c r="O118">
        <f>90</f>
        <v>90</v>
      </c>
      <c r="P118">
        <f>tblROIssues[[#This Row],[LaborHours_Billed]]*tblROIssues[[#This Row],[LaborRate]]</f>
        <v>198.00000000000003</v>
      </c>
      <c r="Q118">
        <f>tblROIssues[[#This Row],[LaborHours_Correct]]*tblROIssues[[#This Row],[LaborRate]]</f>
        <v>153</v>
      </c>
      <c r="R118">
        <f>tblROIssues[[#This Row],[LaborCost_Billed]]-tblROIssues[[#This Row],[LaborCost_Correct]]</f>
        <v>45.000000000000028</v>
      </c>
      <c r="S118" t="str">
        <f>IF(tblROIssues[[#This Row],[CostOvercharge]] &gt; 120, "High",
   IF(tblROIssues[[#This Row],[CostOvercharge]] &gt; 75, "Medium",
   IF(tblROIssues[[#This Row],[CostOvercharge]] &gt; 0, "Low", "None")))</f>
        <v>Low</v>
      </c>
    </row>
    <row r="119" spans="1:19" x14ac:dyDescent="0.25">
      <c r="A119">
        <v>6</v>
      </c>
      <c r="B119">
        <v>2343437</v>
      </c>
      <c r="C119" t="s">
        <v>31</v>
      </c>
      <c r="D119" t="s">
        <v>39</v>
      </c>
      <c r="E119" t="s">
        <v>43</v>
      </c>
      <c r="F119" t="s">
        <v>53</v>
      </c>
      <c r="G119" t="s">
        <v>59</v>
      </c>
      <c r="H119" t="s">
        <v>100</v>
      </c>
      <c r="I119">
        <v>2.2000000000000002</v>
      </c>
      <c r="J119">
        <v>1.7</v>
      </c>
      <c r="K119">
        <v>336.42</v>
      </c>
      <c r="L119">
        <v>534.41999999999996</v>
      </c>
      <c r="M119" t="s">
        <v>115</v>
      </c>
      <c r="N119" t="s">
        <v>178</v>
      </c>
      <c r="O119">
        <f>90</f>
        <v>90</v>
      </c>
      <c r="P119">
        <f>tblROIssues[[#This Row],[LaborHours_Billed]]*tblROIssues[[#This Row],[LaborRate]]</f>
        <v>198.00000000000003</v>
      </c>
      <c r="Q119">
        <f>tblROIssues[[#This Row],[LaborHours_Correct]]*tblROIssues[[#This Row],[LaborRate]]</f>
        <v>153</v>
      </c>
      <c r="R119">
        <f>tblROIssues[[#This Row],[LaborCost_Billed]]-tblROIssues[[#This Row],[LaborCost_Correct]]</f>
        <v>45.000000000000028</v>
      </c>
      <c r="S119" t="str">
        <f>IF(tblROIssues[[#This Row],[CostOvercharge]] &gt; 120, "High",
   IF(tblROIssues[[#This Row],[CostOvercharge]] &gt; 75, "Medium",
   IF(tblROIssues[[#This Row],[CostOvercharge]] &gt; 0, "Low", "None")))</f>
        <v>Low</v>
      </c>
    </row>
    <row r="120" spans="1:19" x14ac:dyDescent="0.25">
      <c r="A120">
        <v>1</v>
      </c>
      <c r="B120">
        <v>2343010</v>
      </c>
      <c r="C120" t="s">
        <v>14</v>
      </c>
      <c r="D120" t="s">
        <v>37</v>
      </c>
      <c r="E120" t="s">
        <v>41</v>
      </c>
      <c r="F120" t="s">
        <v>49</v>
      </c>
      <c r="G120" t="s">
        <v>58</v>
      </c>
      <c r="H120" t="s">
        <v>62</v>
      </c>
      <c r="I120">
        <v>1.1000000000000001</v>
      </c>
      <c r="J120">
        <v>0.6</v>
      </c>
      <c r="K120">
        <v>236.14</v>
      </c>
      <c r="L120">
        <v>335.14</v>
      </c>
      <c r="M120" t="s">
        <v>115</v>
      </c>
      <c r="N120" t="s">
        <v>120</v>
      </c>
      <c r="O120">
        <f>90</f>
        <v>90</v>
      </c>
      <c r="P120">
        <f>tblROIssues[[#This Row],[LaborHours_Billed]]*tblROIssues[[#This Row],[LaborRate]]</f>
        <v>99.000000000000014</v>
      </c>
      <c r="Q120">
        <f>tblROIssues[[#This Row],[LaborHours_Correct]]*tblROIssues[[#This Row],[LaborRate]]</f>
        <v>54</v>
      </c>
      <c r="R120">
        <f>tblROIssues[[#This Row],[LaborCost_Billed]]-tblROIssues[[#This Row],[LaborCost_Correct]]</f>
        <v>45.000000000000014</v>
      </c>
      <c r="S120" t="str">
        <f>IF(tblROIssues[[#This Row],[CostOvercharge]] &gt; 120, "High",
   IF(tblROIssues[[#This Row],[CostOvercharge]] &gt; 75, "Medium",
   IF(tblROIssues[[#This Row],[CostOvercharge]] &gt; 0, "Low", "None")))</f>
        <v>Low</v>
      </c>
    </row>
    <row r="121" spans="1:19" x14ac:dyDescent="0.25">
      <c r="A121">
        <v>1</v>
      </c>
      <c r="B121">
        <v>2343035</v>
      </c>
      <c r="C121" t="s">
        <v>22</v>
      </c>
      <c r="D121" t="s">
        <v>38</v>
      </c>
      <c r="E121" t="s">
        <v>43</v>
      </c>
      <c r="F121" t="s">
        <v>54</v>
      </c>
      <c r="G121" t="s">
        <v>58</v>
      </c>
      <c r="H121" t="s">
        <v>62</v>
      </c>
      <c r="I121">
        <v>1.9</v>
      </c>
      <c r="J121">
        <v>1.4</v>
      </c>
      <c r="K121">
        <v>372.93</v>
      </c>
      <c r="L121">
        <v>543.92999999999995</v>
      </c>
      <c r="M121" t="s">
        <v>115</v>
      </c>
      <c r="N121" t="s">
        <v>127</v>
      </c>
      <c r="O121">
        <f>90</f>
        <v>90</v>
      </c>
      <c r="P121">
        <f>tblROIssues[[#This Row],[LaborHours_Billed]]*tblROIssues[[#This Row],[LaborRate]]</f>
        <v>171</v>
      </c>
      <c r="Q121">
        <f>tblROIssues[[#This Row],[LaborHours_Correct]]*tblROIssues[[#This Row],[LaborRate]]</f>
        <v>125.99999999999999</v>
      </c>
      <c r="R121">
        <f>tblROIssues[[#This Row],[LaborCost_Billed]]-tblROIssues[[#This Row],[LaborCost_Correct]]</f>
        <v>45.000000000000014</v>
      </c>
      <c r="S121" t="str">
        <f>IF(tblROIssues[[#This Row],[CostOvercharge]] &gt; 120, "High",
   IF(tblROIssues[[#This Row],[CostOvercharge]] &gt; 75, "Medium",
   IF(tblROIssues[[#This Row],[CostOvercharge]] &gt; 0, "Low", "None")))</f>
        <v>Low</v>
      </c>
    </row>
    <row r="122" spans="1:19" x14ac:dyDescent="0.25">
      <c r="A122">
        <v>4</v>
      </c>
      <c r="B122">
        <v>2343274</v>
      </c>
      <c r="C122" t="s">
        <v>33</v>
      </c>
      <c r="D122" t="s">
        <v>39</v>
      </c>
      <c r="E122" t="s">
        <v>45</v>
      </c>
      <c r="F122" t="s">
        <v>54</v>
      </c>
      <c r="G122" t="s">
        <v>59</v>
      </c>
      <c r="H122" t="s">
        <v>85</v>
      </c>
      <c r="I122">
        <v>1.9</v>
      </c>
      <c r="J122">
        <v>1.4</v>
      </c>
      <c r="K122">
        <v>390.87</v>
      </c>
      <c r="L122">
        <v>561.87</v>
      </c>
      <c r="M122" t="s">
        <v>115</v>
      </c>
      <c r="N122" t="s">
        <v>155</v>
      </c>
      <c r="O122">
        <f>90</f>
        <v>90</v>
      </c>
      <c r="P122">
        <f>tblROIssues[[#This Row],[LaborHours_Billed]]*tblROIssues[[#This Row],[LaborRate]]</f>
        <v>171</v>
      </c>
      <c r="Q122">
        <f>tblROIssues[[#This Row],[LaborHours_Correct]]*tblROIssues[[#This Row],[LaborRate]]</f>
        <v>125.99999999999999</v>
      </c>
      <c r="R122">
        <f>tblROIssues[[#This Row],[LaborCost_Billed]]-tblROIssues[[#This Row],[LaborCost_Correct]]</f>
        <v>45.000000000000014</v>
      </c>
      <c r="S122" t="str">
        <f>IF(tblROIssues[[#This Row],[CostOvercharge]] &gt; 120, "High",
   IF(tblROIssues[[#This Row],[CostOvercharge]] &gt; 75, "Medium",
   IF(tblROIssues[[#This Row],[CostOvercharge]] &gt; 0, "Low", "None")))</f>
        <v>Low</v>
      </c>
    </row>
    <row r="123" spans="1:19" x14ac:dyDescent="0.25">
      <c r="A123">
        <v>7</v>
      </c>
      <c r="B123">
        <v>2343518</v>
      </c>
      <c r="C123" t="s">
        <v>23</v>
      </c>
      <c r="D123" t="s">
        <v>39</v>
      </c>
      <c r="E123" t="s">
        <v>41</v>
      </c>
      <c r="F123" t="s">
        <v>55</v>
      </c>
      <c r="G123" t="s">
        <v>59</v>
      </c>
      <c r="H123" t="s">
        <v>105</v>
      </c>
      <c r="I123">
        <v>1.9</v>
      </c>
      <c r="J123">
        <v>1.4</v>
      </c>
      <c r="K123">
        <v>289.8</v>
      </c>
      <c r="L123">
        <v>460.8</v>
      </c>
      <c r="M123" t="s">
        <v>115</v>
      </c>
      <c r="N123" t="s">
        <v>170</v>
      </c>
      <c r="O123">
        <f>90</f>
        <v>90</v>
      </c>
      <c r="P123">
        <f>tblROIssues[[#This Row],[LaborHours_Billed]]*tblROIssues[[#This Row],[LaborRate]]</f>
        <v>171</v>
      </c>
      <c r="Q123">
        <f>tblROIssues[[#This Row],[LaborHours_Correct]]*tblROIssues[[#This Row],[LaborRate]]</f>
        <v>125.99999999999999</v>
      </c>
      <c r="R123">
        <f>tblROIssues[[#This Row],[LaborCost_Billed]]-tblROIssues[[#This Row],[LaborCost_Correct]]</f>
        <v>45.000000000000014</v>
      </c>
      <c r="S123" t="str">
        <f>IF(tblROIssues[[#This Row],[CostOvercharge]] &gt; 120, "High",
   IF(tblROIssues[[#This Row],[CostOvercharge]] &gt; 75, "Medium",
   IF(tblROIssues[[#This Row],[CostOvercharge]] &gt; 0, "Low", "None")))</f>
        <v>Low</v>
      </c>
    </row>
    <row r="124" spans="1:19" x14ac:dyDescent="0.25">
      <c r="A124">
        <v>8</v>
      </c>
      <c r="B124">
        <v>2343529</v>
      </c>
      <c r="C124" t="s">
        <v>33</v>
      </c>
      <c r="D124" t="s">
        <v>39</v>
      </c>
      <c r="E124" t="s">
        <v>43</v>
      </c>
      <c r="F124" t="s">
        <v>50</v>
      </c>
      <c r="G124" t="s">
        <v>59</v>
      </c>
      <c r="H124" t="s">
        <v>110</v>
      </c>
      <c r="I124">
        <v>1.2</v>
      </c>
      <c r="J124">
        <v>0.7</v>
      </c>
      <c r="K124">
        <v>403.35</v>
      </c>
      <c r="L124">
        <v>511.35</v>
      </c>
      <c r="M124" t="s">
        <v>115</v>
      </c>
      <c r="N124" t="s">
        <v>121</v>
      </c>
      <c r="O124">
        <f>90</f>
        <v>90</v>
      </c>
      <c r="P124">
        <f>tblROIssues[[#This Row],[LaborHours_Billed]]*tblROIssues[[#This Row],[LaborRate]]</f>
        <v>108</v>
      </c>
      <c r="Q124">
        <f>tblROIssues[[#This Row],[LaborHours_Correct]]*tblROIssues[[#This Row],[LaborRate]]</f>
        <v>62.999999999999993</v>
      </c>
      <c r="R124">
        <f>tblROIssues[[#This Row],[LaborCost_Billed]]-tblROIssues[[#This Row],[LaborCost_Correct]]</f>
        <v>45.000000000000007</v>
      </c>
      <c r="S124" t="str">
        <f>IF(tblROIssues[[#This Row],[CostOvercharge]] &gt; 120, "High",
   IF(tblROIssues[[#This Row],[CostOvercharge]] &gt; 75, "Medium",
   IF(tblROIssues[[#This Row],[CostOvercharge]] &gt; 0, "Low", "None")))</f>
        <v>Low</v>
      </c>
    </row>
    <row r="125" spans="1:19" x14ac:dyDescent="0.25">
      <c r="A125">
        <v>1</v>
      </c>
      <c r="B125">
        <v>2343020</v>
      </c>
      <c r="C125" t="s">
        <v>20</v>
      </c>
      <c r="D125" t="s">
        <v>40</v>
      </c>
      <c r="E125" t="s">
        <v>41</v>
      </c>
      <c r="F125" t="s">
        <v>49</v>
      </c>
      <c r="G125" t="s">
        <v>59</v>
      </c>
      <c r="H125" t="s">
        <v>62</v>
      </c>
      <c r="I125">
        <v>3.7</v>
      </c>
      <c r="J125">
        <v>3.2</v>
      </c>
      <c r="K125">
        <v>43.95</v>
      </c>
      <c r="L125">
        <v>376.95</v>
      </c>
      <c r="M125" t="s">
        <v>116</v>
      </c>
      <c r="N125" t="s">
        <v>123</v>
      </c>
      <c r="O125">
        <f>90</f>
        <v>90</v>
      </c>
      <c r="P125">
        <f>tblROIssues[[#This Row],[LaborHours_Billed]]*tblROIssues[[#This Row],[LaborRate]]</f>
        <v>333</v>
      </c>
      <c r="Q125">
        <f>tblROIssues[[#This Row],[LaborHours_Correct]]*tblROIssues[[#This Row],[LaborRate]]</f>
        <v>288</v>
      </c>
      <c r="R125">
        <f>tblROIssues[[#This Row],[LaborCost_Billed]]-tblROIssues[[#This Row],[LaborCost_Correct]]</f>
        <v>45</v>
      </c>
      <c r="S125" t="str">
        <f>IF(tblROIssues[[#This Row],[CostOvercharge]] &gt; 120, "High",
   IF(tblROIssues[[#This Row],[CostOvercharge]] &gt; 75, "Medium",
   IF(tblROIssues[[#This Row],[CostOvercharge]] &gt; 0, "Low", "None")))</f>
        <v>Low</v>
      </c>
    </row>
    <row r="126" spans="1:19" x14ac:dyDescent="0.25">
      <c r="A126">
        <v>1</v>
      </c>
      <c r="B126">
        <v>2343023</v>
      </c>
      <c r="C126" t="s">
        <v>19</v>
      </c>
      <c r="D126" t="s">
        <v>39</v>
      </c>
      <c r="E126" t="s">
        <v>41</v>
      </c>
      <c r="F126" t="s">
        <v>52</v>
      </c>
      <c r="G126" t="s">
        <v>59</v>
      </c>
      <c r="H126" t="s">
        <v>61</v>
      </c>
      <c r="I126">
        <v>0.8</v>
      </c>
      <c r="J126">
        <v>0.3</v>
      </c>
      <c r="K126">
        <v>15.47</v>
      </c>
      <c r="L126">
        <v>87.47</v>
      </c>
      <c r="M126" t="s">
        <v>115</v>
      </c>
      <c r="N126" t="s">
        <v>124</v>
      </c>
      <c r="O126">
        <f>90</f>
        <v>90</v>
      </c>
      <c r="P126">
        <f>tblROIssues[[#This Row],[LaborHours_Billed]]*tblROIssues[[#This Row],[LaborRate]]</f>
        <v>72</v>
      </c>
      <c r="Q126">
        <f>tblROIssues[[#This Row],[LaborHours_Correct]]*tblROIssues[[#This Row],[LaborRate]]</f>
        <v>27</v>
      </c>
      <c r="R126">
        <f>tblROIssues[[#This Row],[LaborCost_Billed]]-tblROIssues[[#This Row],[LaborCost_Correct]]</f>
        <v>45</v>
      </c>
      <c r="S126" t="str">
        <f>IF(tblROIssues[[#This Row],[CostOvercharge]] &gt; 120, "High",
   IF(tblROIssues[[#This Row],[CostOvercharge]] &gt; 75, "Medium",
   IF(tblROIssues[[#This Row],[CostOvercharge]] &gt; 0, "Low", "None")))</f>
        <v>Low</v>
      </c>
    </row>
    <row r="127" spans="1:19" x14ac:dyDescent="0.25">
      <c r="A127">
        <v>1</v>
      </c>
      <c r="B127">
        <v>2343051</v>
      </c>
      <c r="C127" t="s">
        <v>26</v>
      </c>
      <c r="D127" t="s">
        <v>38</v>
      </c>
      <c r="E127" t="s">
        <v>44</v>
      </c>
      <c r="F127" t="s">
        <v>51</v>
      </c>
      <c r="G127" t="s">
        <v>58</v>
      </c>
      <c r="H127" t="s">
        <v>61</v>
      </c>
      <c r="I127">
        <v>0.8</v>
      </c>
      <c r="J127">
        <v>0.3</v>
      </c>
      <c r="K127">
        <v>342.35</v>
      </c>
      <c r="L127">
        <v>414.35</v>
      </c>
      <c r="M127" t="s">
        <v>115</v>
      </c>
      <c r="N127" t="s">
        <v>132</v>
      </c>
      <c r="O127">
        <f>90</f>
        <v>90</v>
      </c>
      <c r="P127">
        <f>tblROIssues[[#This Row],[LaborHours_Billed]]*tblROIssues[[#This Row],[LaborRate]]</f>
        <v>72</v>
      </c>
      <c r="Q127">
        <f>tblROIssues[[#This Row],[LaborHours_Correct]]*tblROIssues[[#This Row],[LaborRate]]</f>
        <v>27</v>
      </c>
      <c r="R127">
        <f>tblROIssues[[#This Row],[LaborCost_Billed]]-tblROIssues[[#This Row],[LaborCost_Correct]]</f>
        <v>45</v>
      </c>
      <c r="S127" t="str">
        <f>IF(tblROIssues[[#This Row],[CostOvercharge]] &gt; 120, "High",
   IF(tblROIssues[[#This Row],[CostOvercharge]] &gt; 75, "Medium",
   IF(tblROIssues[[#This Row],[CostOvercharge]] &gt; 0, "Low", "None")))</f>
        <v>Low</v>
      </c>
    </row>
    <row r="128" spans="1:19" x14ac:dyDescent="0.25">
      <c r="A128">
        <v>2</v>
      </c>
      <c r="B128">
        <v>2343077</v>
      </c>
      <c r="C128" t="s">
        <v>31</v>
      </c>
      <c r="D128" t="s">
        <v>37</v>
      </c>
      <c r="E128" t="s">
        <v>41</v>
      </c>
      <c r="F128" t="s">
        <v>46</v>
      </c>
      <c r="G128" t="s">
        <v>59</v>
      </c>
      <c r="H128" t="s">
        <v>67</v>
      </c>
      <c r="I128">
        <v>4.3</v>
      </c>
      <c r="J128">
        <v>3.8</v>
      </c>
      <c r="K128">
        <v>223.76</v>
      </c>
      <c r="L128">
        <v>610.76</v>
      </c>
      <c r="M128" t="s">
        <v>115</v>
      </c>
      <c r="N128" t="s">
        <v>117</v>
      </c>
      <c r="O128">
        <f>90</f>
        <v>90</v>
      </c>
      <c r="P128">
        <f>tblROIssues[[#This Row],[LaborHours_Billed]]*tblROIssues[[#This Row],[LaborRate]]</f>
        <v>387</v>
      </c>
      <c r="Q128">
        <f>tblROIssues[[#This Row],[LaborHours_Correct]]*tblROIssues[[#This Row],[LaborRate]]</f>
        <v>342</v>
      </c>
      <c r="R128">
        <f>tblROIssues[[#This Row],[LaborCost_Billed]]-tblROIssues[[#This Row],[LaborCost_Correct]]</f>
        <v>45</v>
      </c>
      <c r="S128" t="str">
        <f>IF(tblROIssues[[#This Row],[CostOvercharge]] &gt; 120, "High",
   IF(tblROIssues[[#This Row],[CostOvercharge]] &gt; 75, "Medium",
   IF(tblROIssues[[#This Row],[CostOvercharge]] &gt; 0, "Low", "None")))</f>
        <v>Low</v>
      </c>
    </row>
    <row r="129" spans="1:19" x14ac:dyDescent="0.25">
      <c r="A129">
        <v>4</v>
      </c>
      <c r="B129">
        <v>2343227</v>
      </c>
      <c r="C129" t="s">
        <v>21</v>
      </c>
      <c r="D129" t="s">
        <v>40</v>
      </c>
      <c r="E129" t="s">
        <v>45</v>
      </c>
      <c r="F129" t="s">
        <v>54</v>
      </c>
      <c r="G129" t="s">
        <v>59</v>
      </c>
      <c r="H129" t="s">
        <v>83</v>
      </c>
      <c r="I129">
        <v>3.7</v>
      </c>
      <c r="J129">
        <v>3.2</v>
      </c>
      <c r="K129">
        <v>79.849999999999994</v>
      </c>
      <c r="L129">
        <v>412.85</v>
      </c>
      <c r="M129" t="s">
        <v>116</v>
      </c>
      <c r="N129" t="s">
        <v>157</v>
      </c>
      <c r="O129">
        <f>90</f>
        <v>90</v>
      </c>
      <c r="P129">
        <f>tblROIssues[[#This Row],[LaborHours_Billed]]*tblROIssues[[#This Row],[LaborRate]]</f>
        <v>333</v>
      </c>
      <c r="Q129">
        <f>tblROIssues[[#This Row],[LaborHours_Correct]]*tblROIssues[[#This Row],[LaborRate]]</f>
        <v>288</v>
      </c>
      <c r="R129">
        <f>tblROIssues[[#This Row],[LaborCost_Billed]]-tblROIssues[[#This Row],[LaborCost_Correct]]</f>
        <v>45</v>
      </c>
      <c r="S129" t="str">
        <f>IF(tblROIssues[[#This Row],[CostOvercharge]] &gt; 120, "High",
   IF(tblROIssues[[#This Row],[CostOvercharge]] &gt; 75, "Medium",
   IF(tblROIssues[[#This Row],[CostOvercharge]] &gt; 0, "Low", "None")))</f>
        <v>Low</v>
      </c>
    </row>
    <row r="130" spans="1:19" x14ac:dyDescent="0.25">
      <c r="A130">
        <v>4</v>
      </c>
      <c r="B130">
        <v>2343272</v>
      </c>
      <c r="C130" t="s">
        <v>25</v>
      </c>
      <c r="D130" t="s">
        <v>39</v>
      </c>
      <c r="E130" t="s">
        <v>44</v>
      </c>
      <c r="F130" t="s">
        <v>54</v>
      </c>
      <c r="G130" t="s">
        <v>59</v>
      </c>
      <c r="H130" t="s">
        <v>84</v>
      </c>
      <c r="I130">
        <v>0.8</v>
      </c>
      <c r="J130">
        <v>0.3</v>
      </c>
      <c r="K130">
        <v>335.72</v>
      </c>
      <c r="L130">
        <v>407.72</v>
      </c>
      <c r="M130" t="s">
        <v>115</v>
      </c>
      <c r="N130" t="s">
        <v>155</v>
      </c>
      <c r="O130">
        <f>90</f>
        <v>90</v>
      </c>
      <c r="P130">
        <f>tblROIssues[[#This Row],[LaborHours_Billed]]*tblROIssues[[#This Row],[LaborRate]]</f>
        <v>72</v>
      </c>
      <c r="Q130">
        <f>tblROIssues[[#This Row],[LaborHours_Correct]]*tblROIssues[[#This Row],[LaborRate]]</f>
        <v>27</v>
      </c>
      <c r="R130">
        <f>tblROIssues[[#This Row],[LaborCost_Billed]]-tblROIssues[[#This Row],[LaborCost_Correct]]</f>
        <v>45</v>
      </c>
      <c r="S130" t="str">
        <f>IF(tblROIssues[[#This Row],[CostOvercharge]] &gt; 120, "High",
   IF(tblROIssues[[#This Row],[CostOvercharge]] &gt; 75, "Medium",
   IF(tblROIssues[[#This Row],[CostOvercharge]] &gt; 0, "Low", "None")))</f>
        <v>Low</v>
      </c>
    </row>
    <row r="131" spans="1:19" x14ac:dyDescent="0.25">
      <c r="A131">
        <v>4</v>
      </c>
      <c r="B131">
        <v>2343223</v>
      </c>
      <c r="C131" t="s">
        <v>15</v>
      </c>
      <c r="D131" t="s">
        <v>38</v>
      </c>
      <c r="E131" t="s">
        <v>41</v>
      </c>
      <c r="F131" t="s">
        <v>49</v>
      </c>
      <c r="G131" t="s">
        <v>58</v>
      </c>
      <c r="H131" t="s">
        <v>83</v>
      </c>
      <c r="I131">
        <v>0.8</v>
      </c>
      <c r="J131">
        <v>0.3</v>
      </c>
      <c r="K131">
        <v>283.02</v>
      </c>
      <c r="L131">
        <v>355.02</v>
      </c>
      <c r="M131" t="s">
        <v>115</v>
      </c>
      <c r="N131" t="s">
        <v>156</v>
      </c>
      <c r="O131">
        <f>90</f>
        <v>90</v>
      </c>
      <c r="P131">
        <f>tblROIssues[[#This Row],[LaborHours_Billed]]*tblROIssues[[#This Row],[LaborRate]]</f>
        <v>72</v>
      </c>
      <c r="Q131">
        <f>tblROIssues[[#This Row],[LaborHours_Correct]]*tblROIssues[[#This Row],[LaborRate]]</f>
        <v>27</v>
      </c>
      <c r="R131">
        <f>tblROIssues[[#This Row],[LaborCost_Billed]]-tblROIssues[[#This Row],[LaborCost_Correct]]</f>
        <v>45</v>
      </c>
      <c r="S131" t="str">
        <f>IF(tblROIssues[[#This Row],[CostOvercharge]] &gt; 120, "High",
   IF(tblROIssues[[#This Row],[CostOvercharge]] &gt; 75, "Medium",
   IF(tblROIssues[[#This Row],[CostOvercharge]] &gt; 0, "Low", "None")))</f>
        <v>Low</v>
      </c>
    </row>
    <row r="132" spans="1:19" x14ac:dyDescent="0.25">
      <c r="A132">
        <v>6</v>
      </c>
      <c r="B132">
        <v>2343347</v>
      </c>
      <c r="C132" t="s">
        <v>36</v>
      </c>
      <c r="D132" t="s">
        <v>38</v>
      </c>
      <c r="E132" t="s">
        <v>43</v>
      </c>
      <c r="F132" t="s">
        <v>52</v>
      </c>
      <c r="G132" t="s">
        <v>59</v>
      </c>
      <c r="H132" t="s">
        <v>96</v>
      </c>
      <c r="I132">
        <v>1</v>
      </c>
      <c r="J132">
        <v>0.5</v>
      </c>
      <c r="K132">
        <v>79.650000000000006</v>
      </c>
      <c r="L132">
        <v>169.65</v>
      </c>
      <c r="M132" t="s">
        <v>115</v>
      </c>
      <c r="N132" t="s">
        <v>126</v>
      </c>
      <c r="O132">
        <f>90</f>
        <v>90</v>
      </c>
      <c r="P132">
        <f>tblROIssues[[#This Row],[LaborHours_Billed]]*tblROIssues[[#This Row],[LaborRate]]</f>
        <v>90</v>
      </c>
      <c r="Q132">
        <f>tblROIssues[[#This Row],[LaborHours_Correct]]*tblROIssues[[#This Row],[LaborRate]]</f>
        <v>45</v>
      </c>
      <c r="R132">
        <f>tblROIssues[[#This Row],[LaborCost_Billed]]-tblROIssues[[#This Row],[LaborCost_Correct]]</f>
        <v>45</v>
      </c>
      <c r="S132" t="str">
        <f>IF(tblROIssues[[#This Row],[CostOvercharge]] &gt; 120, "High",
   IF(tblROIssues[[#This Row],[CostOvercharge]] &gt; 75, "Medium",
   IF(tblROIssues[[#This Row],[CostOvercharge]] &gt; 0, "Low", "None")))</f>
        <v>Low</v>
      </c>
    </row>
    <row r="133" spans="1:19" x14ac:dyDescent="0.25">
      <c r="A133">
        <v>6</v>
      </c>
      <c r="B133">
        <v>2343382</v>
      </c>
      <c r="C133" t="s">
        <v>36</v>
      </c>
      <c r="D133" t="s">
        <v>38</v>
      </c>
      <c r="E133" t="s">
        <v>43</v>
      </c>
      <c r="F133" t="s">
        <v>50</v>
      </c>
      <c r="G133" t="s">
        <v>59</v>
      </c>
      <c r="H133" t="s">
        <v>96</v>
      </c>
      <c r="I133">
        <v>0.8</v>
      </c>
      <c r="J133">
        <v>0.3</v>
      </c>
      <c r="K133">
        <v>163.38999999999999</v>
      </c>
      <c r="L133">
        <v>235.39</v>
      </c>
      <c r="M133" t="s">
        <v>115</v>
      </c>
      <c r="N133" t="s">
        <v>130</v>
      </c>
      <c r="O133">
        <f>90</f>
        <v>90</v>
      </c>
      <c r="P133">
        <f>tblROIssues[[#This Row],[LaborHours_Billed]]*tblROIssues[[#This Row],[LaborRate]]</f>
        <v>72</v>
      </c>
      <c r="Q133">
        <f>tblROIssues[[#This Row],[LaborHours_Correct]]*tblROIssues[[#This Row],[LaborRate]]</f>
        <v>27</v>
      </c>
      <c r="R133">
        <f>tblROIssues[[#This Row],[LaborCost_Billed]]-tblROIssues[[#This Row],[LaborCost_Correct]]</f>
        <v>45</v>
      </c>
      <c r="S133" t="str">
        <f>IF(tblROIssues[[#This Row],[CostOvercharge]] &gt; 120, "High",
   IF(tblROIssues[[#This Row],[CostOvercharge]] &gt; 75, "Medium",
   IF(tblROIssues[[#This Row],[CostOvercharge]] &gt; 0, "Low", "None")))</f>
        <v>Low</v>
      </c>
    </row>
    <row r="134" spans="1:19" x14ac:dyDescent="0.25">
      <c r="A134">
        <v>6</v>
      </c>
      <c r="B134">
        <v>2343398</v>
      </c>
      <c r="C134" t="s">
        <v>24</v>
      </c>
      <c r="D134" t="s">
        <v>39</v>
      </c>
      <c r="E134" t="s">
        <v>41</v>
      </c>
      <c r="F134" t="s">
        <v>51</v>
      </c>
      <c r="G134" t="s">
        <v>59</v>
      </c>
      <c r="H134" t="s">
        <v>98</v>
      </c>
      <c r="I134">
        <v>3.7</v>
      </c>
      <c r="J134">
        <v>3.2</v>
      </c>
      <c r="K134">
        <v>76.900000000000006</v>
      </c>
      <c r="L134">
        <v>409.9</v>
      </c>
      <c r="M134" t="s">
        <v>115</v>
      </c>
      <c r="N134" t="s">
        <v>148</v>
      </c>
      <c r="O134">
        <f>90</f>
        <v>90</v>
      </c>
      <c r="P134">
        <f>tblROIssues[[#This Row],[LaborHours_Billed]]*tblROIssues[[#This Row],[LaborRate]]</f>
        <v>333</v>
      </c>
      <c r="Q134">
        <f>tblROIssues[[#This Row],[LaborHours_Correct]]*tblROIssues[[#This Row],[LaborRate]]</f>
        <v>288</v>
      </c>
      <c r="R134">
        <f>tblROIssues[[#This Row],[LaborCost_Billed]]-tblROIssues[[#This Row],[LaborCost_Correct]]</f>
        <v>45</v>
      </c>
      <c r="S134" t="str">
        <f>IF(tblROIssues[[#This Row],[CostOvercharge]] &gt; 120, "High",
   IF(tblROIssues[[#This Row],[CostOvercharge]] &gt; 75, "Medium",
   IF(tblROIssues[[#This Row],[CostOvercharge]] &gt; 0, "Low", "None")))</f>
        <v>Low</v>
      </c>
    </row>
    <row r="135" spans="1:19" x14ac:dyDescent="0.25">
      <c r="A135">
        <v>6</v>
      </c>
      <c r="B135">
        <v>2343408</v>
      </c>
      <c r="C135" t="s">
        <v>29</v>
      </c>
      <c r="D135" t="s">
        <v>39</v>
      </c>
      <c r="E135" t="s">
        <v>43</v>
      </c>
      <c r="F135" t="s">
        <v>51</v>
      </c>
      <c r="G135" t="s">
        <v>59</v>
      </c>
      <c r="H135" t="s">
        <v>101</v>
      </c>
      <c r="I135">
        <v>2.9</v>
      </c>
      <c r="J135">
        <v>2.4</v>
      </c>
      <c r="K135">
        <v>261.56</v>
      </c>
      <c r="L135">
        <v>522.55999999999995</v>
      </c>
      <c r="M135" t="s">
        <v>115</v>
      </c>
      <c r="N135" t="s">
        <v>148</v>
      </c>
      <c r="O135">
        <f>90</f>
        <v>90</v>
      </c>
      <c r="P135">
        <f>tblROIssues[[#This Row],[LaborHours_Billed]]*tblROIssues[[#This Row],[LaborRate]]</f>
        <v>261</v>
      </c>
      <c r="Q135">
        <f>tblROIssues[[#This Row],[LaborHours_Correct]]*tblROIssues[[#This Row],[LaborRate]]</f>
        <v>216</v>
      </c>
      <c r="R135">
        <f>tblROIssues[[#This Row],[LaborCost_Billed]]-tblROIssues[[#This Row],[LaborCost_Correct]]</f>
        <v>45</v>
      </c>
      <c r="S135" t="str">
        <f>IF(tblROIssues[[#This Row],[CostOvercharge]] &gt; 120, "High",
   IF(tblROIssues[[#This Row],[CostOvercharge]] &gt; 75, "Medium",
   IF(tblROIssues[[#This Row],[CostOvercharge]] &gt; 0, "Low", "None")))</f>
        <v>Low</v>
      </c>
    </row>
    <row r="136" spans="1:19" x14ac:dyDescent="0.25">
      <c r="A136">
        <v>7</v>
      </c>
      <c r="B136">
        <v>2343446</v>
      </c>
      <c r="C136" t="s">
        <v>31</v>
      </c>
      <c r="D136" t="s">
        <v>37</v>
      </c>
      <c r="E136" t="s">
        <v>43</v>
      </c>
      <c r="F136" t="s">
        <v>54</v>
      </c>
      <c r="G136" t="s">
        <v>59</v>
      </c>
      <c r="H136" t="s">
        <v>103</v>
      </c>
      <c r="I136">
        <v>0.8</v>
      </c>
      <c r="J136">
        <v>0.3</v>
      </c>
      <c r="K136">
        <v>282.47000000000003</v>
      </c>
      <c r="L136">
        <v>354.47</v>
      </c>
      <c r="M136" t="s">
        <v>115</v>
      </c>
      <c r="N136" t="s">
        <v>153</v>
      </c>
      <c r="O136">
        <f>90</f>
        <v>90</v>
      </c>
      <c r="P136">
        <f>tblROIssues[[#This Row],[LaborHours_Billed]]*tblROIssues[[#This Row],[LaborRate]]</f>
        <v>72</v>
      </c>
      <c r="Q136">
        <f>tblROIssues[[#This Row],[LaborHours_Correct]]*tblROIssues[[#This Row],[LaborRate]]</f>
        <v>27</v>
      </c>
      <c r="R136">
        <f>tblROIssues[[#This Row],[LaborCost_Billed]]-tblROIssues[[#This Row],[LaborCost_Correct]]</f>
        <v>45</v>
      </c>
      <c r="S136" t="str">
        <f>IF(tblROIssues[[#This Row],[CostOvercharge]] &gt; 120, "High",
   IF(tblROIssues[[#This Row],[CostOvercharge]] &gt; 75, "Medium",
   IF(tblROIssues[[#This Row],[CostOvercharge]] &gt; 0, "Low", "None")))</f>
        <v>Low</v>
      </c>
    </row>
    <row r="137" spans="1:19" x14ac:dyDescent="0.25">
      <c r="A137">
        <v>7</v>
      </c>
      <c r="B137">
        <v>2343458</v>
      </c>
      <c r="C137" t="s">
        <v>35</v>
      </c>
      <c r="D137" t="s">
        <v>37</v>
      </c>
      <c r="E137" t="s">
        <v>41</v>
      </c>
      <c r="F137" t="s">
        <v>47</v>
      </c>
      <c r="G137" t="s">
        <v>59</v>
      </c>
      <c r="H137" t="s">
        <v>102</v>
      </c>
      <c r="I137">
        <v>0.8</v>
      </c>
      <c r="J137">
        <v>0.3</v>
      </c>
      <c r="K137">
        <v>57.37</v>
      </c>
      <c r="L137">
        <v>129.37</v>
      </c>
      <c r="M137" t="s">
        <v>115</v>
      </c>
      <c r="N137" t="s">
        <v>146</v>
      </c>
      <c r="O137">
        <f>90</f>
        <v>90</v>
      </c>
      <c r="P137">
        <f>tblROIssues[[#This Row],[LaborHours_Billed]]*tblROIssues[[#This Row],[LaborRate]]</f>
        <v>72</v>
      </c>
      <c r="Q137">
        <f>tblROIssues[[#This Row],[LaborHours_Correct]]*tblROIssues[[#This Row],[LaborRate]]</f>
        <v>27</v>
      </c>
      <c r="R137">
        <f>tblROIssues[[#This Row],[LaborCost_Billed]]-tblROIssues[[#This Row],[LaborCost_Correct]]</f>
        <v>45</v>
      </c>
      <c r="S137" t="str">
        <f>IF(tblROIssues[[#This Row],[CostOvercharge]] &gt; 120, "High",
   IF(tblROIssues[[#This Row],[CostOvercharge]] &gt; 75, "Medium",
   IF(tblROIssues[[#This Row],[CostOvercharge]] &gt; 0, "Low", "None")))</f>
        <v>Low</v>
      </c>
    </row>
    <row r="138" spans="1:19" x14ac:dyDescent="0.25">
      <c r="A138">
        <v>8</v>
      </c>
      <c r="B138">
        <v>2343541</v>
      </c>
      <c r="C138" t="s">
        <v>31</v>
      </c>
      <c r="D138" t="s">
        <v>38</v>
      </c>
      <c r="E138" t="s">
        <v>43</v>
      </c>
      <c r="F138" t="s">
        <v>50</v>
      </c>
      <c r="G138" t="s">
        <v>59</v>
      </c>
      <c r="H138" t="s">
        <v>111</v>
      </c>
      <c r="I138">
        <v>2.1</v>
      </c>
      <c r="J138">
        <v>1.6</v>
      </c>
      <c r="K138">
        <v>426.8</v>
      </c>
      <c r="L138">
        <v>615.79999999999995</v>
      </c>
      <c r="M138" t="s">
        <v>115</v>
      </c>
      <c r="N138" t="s">
        <v>130</v>
      </c>
      <c r="O138">
        <f>90</f>
        <v>90</v>
      </c>
      <c r="P138">
        <f>tblROIssues[[#This Row],[LaborHours_Billed]]*tblROIssues[[#This Row],[LaborRate]]</f>
        <v>189</v>
      </c>
      <c r="Q138">
        <f>tblROIssues[[#This Row],[LaborHours_Correct]]*tblROIssues[[#This Row],[LaborRate]]</f>
        <v>144</v>
      </c>
      <c r="R138">
        <f>tblROIssues[[#This Row],[LaborCost_Billed]]-tblROIssues[[#This Row],[LaborCost_Correct]]</f>
        <v>45</v>
      </c>
      <c r="S138" t="str">
        <f>IF(tblROIssues[[#This Row],[CostOvercharge]] &gt; 120, "High",
   IF(tblROIssues[[#This Row],[CostOvercharge]] &gt; 75, "Medium",
   IF(tblROIssues[[#This Row],[CostOvercharge]] &gt; 0, "Low", "None")))</f>
        <v>Low</v>
      </c>
    </row>
    <row r="139" spans="1:19" x14ac:dyDescent="0.25">
      <c r="A139">
        <v>8</v>
      </c>
      <c r="B139">
        <v>2343540</v>
      </c>
      <c r="C139" t="s">
        <v>23</v>
      </c>
      <c r="D139" t="s">
        <v>37</v>
      </c>
      <c r="E139" t="s">
        <v>41</v>
      </c>
      <c r="F139" t="s">
        <v>47</v>
      </c>
      <c r="G139" t="s">
        <v>59</v>
      </c>
      <c r="H139" t="s">
        <v>112</v>
      </c>
      <c r="I139">
        <v>2.8</v>
      </c>
      <c r="J139">
        <v>2.2999999999999998</v>
      </c>
      <c r="K139">
        <v>280.87</v>
      </c>
      <c r="L139">
        <v>532.87</v>
      </c>
      <c r="M139" t="s">
        <v>115</v>
      </c>
      <c r="N139" t="s">
        <v>146</v>
      </c>
      <c r="O139">
        <f>90</f>
        <v>90</v>
      </c>
      <c r="P139">
        <f>tblROIssues[[#This Row],[LaborHours_Billed]]*tblROIssues[[#This Row],[LaborRate]]</f>
        <v>251.99999999999997</v>
      </c>
      <c r="Q139">
        <f>tblROIssues[[#This Row],[LaborHours_Correct]]*tblROIssues[[#This Row],[LaborRate]]</f>
        <v>206.99999999999997</v>
      </c>
      <c r="R139">
        <f>tblROIssues[[#This Row],[LaborCost_Billed]]-tblROIssues[[#This Row],[LaborCost_Correct]]</f>
        <v>45</v>
      </c>
      <c r="S139" t="str">
        <f>IF(tblROIssues[[#This Row],[CostOvercharge]] &gt; 120, "High",
   IF(tblROIssues[[#This Row],[CostOvercharge]] &gt; 75, "Medium",
   IF(tblROIssues[[#This Row],[CostOvercharge]] &gt; 0, "Low", "None")))</f>
        <v>Low</v>
      </c>
    </row>
    <row r="140" spans="1:19" x14ac:dyDescent="0.25">
      <c r="A140">
        <v>6</v>
      </c>
      <c r="B140">
        <v>2343350</v>
      </c>
      <c r="C140" t="s">
        <v>28</v>
      </c>
      <c r="D140" t="s">
        <v>37</v>
      </c>
      <c r="E140" t="s">
        <v>43</v>
      </c>
      <c r="F140" t="s">
        <v>56</v>
      </c>
      <c r="G140" t="s">
        <v>59</v>
      </c>
      <c r="H140" t="s">
        <v>95</v>
      </c>
      <c r="I140">
        <v>2.2000000000000002</v>
      </c>
      <c r="J140">
        <v>1.8</v>
      </c>
      <c r="K140">
        <v>163.92</v>
      </c>
      <c r="L140">
        <v>361.92</v>
      </c>
      <c r="M140" t="s">
        <v>115</v>
      </c>
      <c r="N140" t="s">
        <v>139</v>
      </c>
      <c r="O140">
        <f>90</f>
        <v>90</v>
      </c>
      <c r="P140">
        <f>tblROIssues[[#This Row],[LaborHours_Billed]]*tblROIssues[[#This Row],[LaborRate]]</f>
        <v>198.00000000000003</v>
      </c>
      <c r="Q140">
        <f>tblROIssues[[#This Row],[LaborHours_Correct]]*tblROIssues[[#This Row],[LaborRate]]</f>
        <v>162</v>
      </c>
      <c r="R140">
        <f>tblROIssues[[#This Row],[LaborCost_Billed]]-tblROIssues[[#This Row],[LaborCost_Correct]]</f>
        <v>36.000000000000028</v>
      </c>
      <c r="S140" t="str">
        <f>IF(tblROIssues[[#This Row],[CostOvercharge]] &gt; 120, "High",
   IF(tblROIssues[[#This Row],[CostOvercharge]] &gt; 75, "Medium",
   IF(tblROIssues[[#This Row],[CostOvercharge]] &gt; 0, "Low", "None")))</f>
        <v>Low</v>
      </c>
    </row>
    <row r="141" spans="1:19" x14ac:dyDescent="0.25">
      <c r="A141">
        <v>6</v>
      </c>
      <c r="B141">
        <v>2343360</v>
      </c>
      <c r="C141" t="s">
        <v>27</v>
      </c>
      <c r="D141" t="s">
        <v>38</v>
      </c>
      <c r="E141" t="s">
        <v>43</v>
      </c>
      <c r="F141" t="s">
        <v>55</v>
      </c>
      <c r="G141" t="s">
        <v>59</v>
      </c>
      <c r="H141" t="s">
        <v>99</v>
      </c>
      <c r="I141">
        <v>1.1000000000000001</v>
      </c>
      <c r="J141">
        <v>0.7</v>
      </c>
      <c r="K141">
        <v>166.71</v>
      </c>
      <c r="L141">
        <v>265.70999999999998</v>
      </c>
      <c r="M141" t="s">
        <v>115</v>
      </c>
      <c r="N141" t="s">
        <v>128</v>
      </c>
      <c r="O141">
        <f>90</f>
        <v>90</v>
      </c>
      <c r="P141">
        <f>tblROIssues[[#This Row],[LaborHours_Billed]]*tblROIssues[[#This Row],[LaborRate]]</f>
        <v>99.000000000000014</v>
      </c>
      <c r="Q141">
        <f>tblROIssues[[#This Row],[LaborHours_Correct]]*tblROIssues[[#This Row],[LaborRate]]</f>
        <v>62.999999999999993</v>
      </c>
      <c r="R141">
        <f>tblROIssues[[#This Row],[LaborCost_Billed]]-tblROIssues[[#This Row],[LaborCost_Correct]]</f>
        <v>36.000000000000021</v>
      </c>
      <c r="S141" t="str">
        <f>IF(tblROIssues[[#This Row],[CostOvercharge]] &gt; 120, "High",
   IF(tblROIssues[[#This Row],[CostOvercharge]] &gt; 75, "Medium",
   IF(tblROIssues[[#This Row],[CostOvercharge]] &gt; 0, "Low", "None")))</f>
        <v>Low</v>
      </c>
    </row>
    <row r="142" spans="1:19" x14ac:dyDescent="0.25">
      <c r="A142">
        <v>1</v>
      </c>
      <c r="B142">
        <v>2343040</v>
      </c>
      <c r="C142" t="s">
        <v>20</v>
      </c>
      <c r="D142" t="s">
        <v>40</v>
      </c>
      <c r="E142" t="s">
        <v>41</v>
      </c>
      <c r="F142" t="s">
        <v>48</v>
      </c>
      <c r="G142" t="s">
        <v>59</v>
      </c>
      <c r="H142" t="s">
        <v>63</v>
      </c>
      <c r="I142">
        <v>3.5</v>
      </c>
      <c r="J142">
        <v>3.1</v>
      </c>
      <c r="K142">
        <v>2.48</v>
      </c>
      <c r="L142">
        <v>317.48</v>
      </c>
      <c r="M142" t="s">
        <v>116</v>
      </c>
      <c r="N142" t="s">
        <v>129</v>
      </c>
      <c r="O142">
        <f>90</f>
        <v>90</v>
      </c>
      <c r="P142">
        <f>tblROIssues[[#This Row],[LaborHours_Billed]]*tblROIssues[[#This Row],[LaborRate]]</f>
        <v>315</v>
      </c>
      <c r="Q142">
        <f>tblROIssues[[#This Row],[LaborHours_Correct]]*tblROIssues[[#This Row],[LaborRate]]</f>
        <v>279</v>
      </c>
      <c r="R142">
        <f>tblROIssues[[#This Row],[LaborCost_Billed]]-tblROIssues[[#This Row],[LaborCost_Correct]]</f>
        <v>36</v>
      </c>
      <c r="S142" t="str">
        <f>IF(tblROIssues[[#This Row],[CostOvercharge]] &gt; 120, "High",
   IF(tblROIssues[[#This Row],[CostOvercharge]] &gt; 75, "Medium",
   IF(tblROIssues[[#This Row],[CostOvercharge]] &gt; 0, "Low", "None")))</f>
        <v>Low</v>
      </c>
    </row>
    <row r="143" spans="1:19" x14ac:dyDescent="0.25">
      <c r="A143">
        <v>1</v>
      </c>
      <c r="B143">
        <v>2343074</v>
      </c>
      <c r="C143" t="s">
        <v>20</v>
      </c>
      <c r="D143" t="s">
        <v>39</v>
      </c>
      <c r="E143" t="s">
        <v>41</v>
      </c>
      <c r="F143" t="s">
        <v>48</v>
      </c>
      <c r="G143" t="s">
        <v>59</v>
      </c>
      <c r="H143" t="s">
        <v>65</v>
      </c>
      <c r="I143">
        <v>2.1</v>
      </c>
      <c r="J143">
        <v>1.7</v>
      </c>
      <c r="K143">
        <v>53.94</v>
      </c>
      <c r="L143">
        <v>242.94</v>
      </c>
      <c r="M143" t="s">
        <v>115</v>
      </c>
      <c r="N143" t="s">
        <v>119</v>
      </c>
      <c r="O143">
        <f>90</f>
        <v>90</v>
      </c>
      <c r="P143">
        <f>tblROIssues[[#This Row],[LaborHours_Billed]]*tblROIssues[[#This Row],[LaborRate]]</f>
        <v>189</v>
      </c>
      <c r="Q143">
        <f>tblROIssues[[#This Row],[LaborHours_Correct]]*tblROIssues[[#This Row],[LaborRate]]</f>
        <v>153</v>
      </c>
      <c r="R143">
        <f>tblROIssues[[#This Row],[LaborCost_Billed]]-tblROIssues[[#This Row],[LaborCost_Correct]]</f>
        <v>36</v>
      </c>
      <c r="S143" t="str">
        <f>IF(tblROIssues[[#This Row],[CostOvercharge]] &gt; 120, "High",
   IF(tblROIssues[[#This Row],[CostOvercharge]] &gt; 75, "Medium",
   IF(tblROIssues[[#This Row],[CostOvercharge]] &gt; 0, "Low", "None")))</f>
        <v>Low</v>
      </c>
    </row>
    <row r="144" spans="1:19" x14ac:dyDescent="0.25">
      <c r="A144">
        <v>1</v>
      </c>
      <c r="B144">
        <v>2343014</v>
      </c>
      <c r="C144" t="s">
        <v>18</v>
      </c>
      <c r="D144" t="s">
        <v>38</v>
      </c>
      <c r="E144" t="s">
        <v>41</v>
      </c>
      <c r="F144" t="s">
        <v>51</v>
      </c>
      <c r="G144" t="s">
        <v>58</v>
      </c>
      <c r="H144" t="s">
        <v>64</v>
      </c>
      <c r="I144">
        <v>3.6</v>
      </c>
      <c r="J144">
        <v>3.2</v>
      </c>
      <c r="K144">
        <v>231.41</v>
      </c>
      <c r="L144">
        <v>555.41</v>
      </c>
      <c r="M144" t="s">
        <v>115</v>
      </c>
      <c r="N144" t="s">
        <v>122</v>
      </c>
      <c r="O144">
        <f>90</f>
        <v>90</v>
      </c>
      <c r="P144">
        <f>tblROIssues[[#This Row],[LaborHours_Billed]]*tblROIssues[[#This Row],[LaborRate]]</f>
        <v>324</v>
      </c>
      <c r="Q144">
        <f>tblROIssues[[#This Row],[LaborHours_Correct]]*tblROIssues[[#This Row],[LaborRate]]</f>
        <v>288</v>
      </c>
      <c r="R144">
        <f>tblROIssues[[#This Row],[LaborCost_Billed]]-tblROIssues[[#This Row],[LaborCost_Correct]]</f>
        <v>36</v>
      </c>
      <c r="S144" t="str">
        <f>IF(tblROIssues[[#This Row],[CostOvercharge]] &gt; 120, "High",
   IF(tblROIssues[[#This Row],[CostOvercharge]] &gt; 75, "Medium",
   IF(tblROIssues[[#This Row],[CostOvercharge]] &gt; 0, "Low", "None")))</f>
        <v>Low</v>
      </c>
    </row>
    <row r="145" spans="1:19" x14ac:dyDescent="0.25">
      <c r="A145">
        <v>5</v>
      </c>
      <c r="B145">
        <v>2343320</v>
      </c>
      <c r="C145" t="s">
        <v>26</v>
      </c>
      <c r="D145" t="s">
        <v>39</v>
      </c>
      <c r="E145" t="s">
        <v>45</v>
      </c>
      <c r="F145" t="s">
        <v>55</v>
      </c>
      <c r="G145" t="s">
        <v>58</v>
      </c>
      <c r="H145" t="s">
        <v>94</v>
      </c>
      <c r="I145">
        <v>3.3</v>
      </c>
      <c r="J145">
        <v>2.9</v>
      </c>
      <c r="K145">
        <v>61.37</v>
      </c>
      <c r="L145">
        <v>358.37</v>
      </c>
      <c r="M145" t="s">
        <v>115</v>
      </c>
      <c r="N145" t="s">
        <v>170</v>
      </c>
      <c r="O145">
        <f>90</f>
        <v>90</v>
      </c>
      <c r="P145">
        <f>tblROIssues[[#This Row],[LaborHours_Billed]]*tblROIssues[[#This Row],[LaborRate]]</f>
        <v>297</v>
      </c>
      <c r="Q145">
        <f>tblROIssues[[#This Row],[LaborHours_Correct]]*tblROIssues[[#This Row],[LaborRate]]</f>
        <v>261</v>
      </c>
      <c r="R145">
        <f>tblROIssues[[#This Row],[LaborCost_Billed]]-tblROIssues[[#This Row],[LaborCost_Correct]]</f>
        <v>36</v>
      </c>
      <c r="S145" t="str">
        <f>IF(tblROIssues[[#This Row],[CostOvercharge]] &gt; 120, "High",
   IF(tblROIssues[[#This Row],[CostOvercharge]] &gt; 75, "Medium",
   IF(tblROIssues[[#This Row],[CostOvercharge]] &gt; 0, "Low", "None")))</f>
        <v>Low</v>
      </c>
    </row>
    <row r="146" spans="1:19" x14ac:dyDescent="0.25">
      <c r="A146">
        <v>6</v>
      </c>
      <c r="B146">
        <v>2343387</v>
      </c>
      <c r="C146" t="s">
        <v>36</v>
      </c>
      <c r="D146" t="s">
        <v>38</v>
      </c>
      <c r="E146" t="s">
        <v>43</v>
      </c>
      <c r="F146" t="s">
        <v>49</v>
      </c>
      <c r="G146" t="s">
        <v>58</v>
      </c>
      <c r="H146" t="s">
        <v>96</v>
      </c>
      <c r="I146">
        <v>0.9</v>
      </c>
      <c r="J146">
        <v>0.5</v>
      </c>
      <c r="K146">
        <v>72.31</v>
      </c>
      <c r="L146">
        <v>153.31</v>
      </c>
      <c r="M146" t="s">
        <v>115</v>
      </c>
      <c r="N146" t="s">
        <v>175</v>
      </c>
      <c r="O146">
        <f>90</f>
        <v>90</v>
      </c>
      <c r="P146">
        <f>tblROIssues[[#This Row],[LaborHours_Billed]]*tblROIssues[[#This Row],[LaborRate]]</f>
        <v>81</v>
      </c>
      <c r="Q146">
        <f>tblROIssues[[#This Row],[LaborHours_Correct]]*tblROIssues[[#This Row],[LaborRate]]</f>
        <v>45</v>
      </c>
      <c r="R146">
        <f>tblROIssues[[#This Row],[LaborCost_Billed]]-tblROIssues[[#This Row],[LaborCost_Correct]]</f>
        <v>36</v>
      </c>
      <c r="S146" t="str">
        <f>IF(tblROIssues[[#This Row],[CostOvercharge]] &gt; 120, "High",
   IF(tblROIssues[[#This Row],[CostOvercharge]] &gt; 75, "Medium",
   IF(tblROIssues[[#This Row],[CostOvercharge]] &gt; 0, "Low", "None")))</f>
        <v>Low</v>
      </c>
    </row>
    <row r="147" spans="1:19" x14ac:dyDescent="0.25">
      <c r="A147">
        <v>7</v>
      </c>
      <c r="B147">
        <v>2343460</v>
      </c>
      <c r="C147" t="s">
        <v>25</v>
      </c>
      <c r="D147" t="s">
        <v>37</v>
      </c>
      <c r="E147" t="s">
        <v>44</v>
      </c>
      <c r="F147" t="s">
        <v>52</v>
      </c>
      <c r="G147" t="s">
        <v>59</v>
      </c>
      <c r="H147" t="s">
        <v>105</v>
      </c>
      <c r="I147">
        <v>0.9</v>
      </c>
      <c r="J147">
        <v>0.5</v>
      </c>
      <c r="K147">
        <v>325.01</v>
      </c>
      <c r="L147">
        <v>406.01</v>
      </c>
      <c r="M147" t="s">
        <v>115</v>
      </c>
      <c r="N147" t="s">
        <v>143</v>
      </c>
      <c r="O147">
        <f>90</f>
        <v>90</v>
      </c>
      <c r="P147">
        <f>tblROIssues[[#This Row],[LaborHours_Billed]]*tblROIssues[[#This Row],[LaborRate]]</f>
        <v>81</v>
      </c>
      <c r="Q147">
        <f>tblROIssues[[#This Row],[LaborHours_Correct]]*tblROIssues[[#This Row],[LaborRate]]</f>
        <v>45</v>
      </c>
      <c r="R147">
        <f>tblROIssues[[#This Row],[LaborCost_Billed]]-tblROIssues[[#This Row],[LaborCost_Correct]]</f>
        <v>36</v>
      </c>
      <c r="S147" t="str">
        <f>IF(tblROIssues[[#This Row],[CostOvercharge]] &gt; 120, "High",
   IF(tblROIssues[[#This Row],[CostOvercharge]] &gt; 75, "Medium",
   IF(tblROIssues[[#This Row],[CostOvercharge]] &gt; 0, "Low", "None")))</f>
        <v>Low</v>
      </c>
    </row>
    <row r="148" spans="1:19" x14ac:dyDescent="0.25">
      <c r="A148">
        <v>2</v>
      </c>
      <c r="B148">
        <v>2343117</v>
      </c>
      <c r="C148" t="s">
        <v>26</v>
      </c>
      <c r="D148" t="s">
        <v>39</v>
      </c>
      <c r="E148" t="s">
        <v>45</v>
      </c>
      <c r="F148" t="s">
        <v>50</v>
      </c>
      <c r="G148" t="s">
        <v>58</v>
      </c>
      <c r="H148" t="s">
        <v>70</v>
      </c>
      <c r="I148">
        <v>0.7</v>
      </c>
      <c r="J148">
        <v>0.3</v>
      </c>
      <c r="K148">
        <v>405.19</v>
      </c>
      <c r="L148">
        <v>468.19</v>
      </c>
      <c r="M148" t="s">
        <v>115</v>
      </c>
      <c r="N148" t="s">
        <v>121</v>
      </c>
      <c r="O148">
        <f>90</f>
        <v>90</v>
      </c>
      <c r="P148">
        <f>tblROIssues[[#This Row],[LaborHours_Billed]]*tblROIssues[[#This Row],[LaborRate]]</f>
        <v>62.999999999999993</v>
      </c>
      <c r="Q148">
        <f>tblROIssues[[#This Row],[LaborHours_Correct]]*tblROIssues[[#This Row],[LaborRate]]</f>
        <v>27</v>
      </c>
      <c r="R148">
        <f>tblROIssues[[#This Row],[LaborCost_Billed]]-tblROIssues[[#This Row],[LaborCost_Correct]]</f>
        <v>35.999999999999993</v>
      </c>
      <c r="S148" t="str">
        <f>IF(tblROIssues[[#This Row],[CostOvercharge]] &gt; 120, "High",
   IF(tblROIssues[[#This Row],[CostOvercharge]] &gt; 75, "Medium",
   IF(tblROIssues[[#This Row],[CostOvercharge]] &gt; 0, "Low", "None")))</f>
        <v>Low</v>
      </c>
    </row>
    <row r="149" spans="1:19" x14ac:dyDescent="0.25">
      <c r="A149">
        <v>4</v>
      </c>
      <c r="B149">
        <v>2343262</v>
      </c>
      <c r="C149" t="s">
        <v>26</v>
      </c>
      <c r="D149" t="s">
        <v>40</v>
      </c>
      <c r="E149" t="s">
        <v>41</v>
      </c>
      <c r="F149" t="s">
        <v>47</v>
      </c>
      <c r="G149" t="s">
        <v>58</v>
      </c>
      <c r="H149" t="s">
        <v>84</v>
      </c>
      <c r="I149">
        <v>0.7</v>
      </c>
      <c r="J149">
        <v>0.3</v>
      </c>
      <c r="K149">
        <v>168.42</v>
      </c>
      <c r="L149">
        <v>231.42</v>
      </c>
      <c r="M149" t="s">
        <v>116</v>
      </c>
      <c r="N149" t="s">
        <v>152</v>
      </c>
      <c r="O149">
        <f>90</f>
        <v>90</v>
      </c>
      <c r="P149">
        <f>tblROIssues[[#This Row],[LaborHours_Billed]]*tblROIssues[[#This Row],[LaborRate]]</f>
        <v>62.999999999999993</v>
      </c>
      <c r="Q149">
        <f>tblROIssues[[#This Row],[LaborHours_Correct]]*tblROIssues[[#This Row],[LaborRate]]</f>
        <v>27</v>
      </c>
      <c r="R149">
        <f>tblROIssues[[#This Row],[LaborCost_Billed]]-tblROIssues[[#This Row],[LaborCost_Correct]]</f>
        <v>35.999999999999993</v>
      </c>
      <c r="S149" t="str">
        <f>IF(tblROIssues[[#This Row],[CostOvercharge]] &gt; 120, "High",
   IF(tblROIssues[[#This Row],[CostOvercharge]] &gt; 75, "Medium",
   IF(tblROIssues[[#This Row],[CostOvercharge]] &gt; 0, "Low", "None")))</f>
        <v>Low</v>
      </c>
    </row>
    <row r="150" spans="1:19" x14ac:dyDescent="0.25">
      <c r="A150">
        <v>4</v>
      </c>
      <c r="B150">
        <v>2343239</v>
      </c>
      <c r="C150" t="s">
        <v>33</v>
      </c>
      <c r="D150" t="s">
        <v>38</v>
      </c>
      <c r="E150" t="s">
        <v>41</v>
      </c>
      <c r="F150" t="s">
        <v>54</v>
      </c>
      <c r="G150" t="s">
        <v>59</v>
      </c>
      <c r="H150" t="s">
        <v>84</v>
      </c>
      <c r="I150">
        <v>0.7</v>
      </c>
      <c r="J150">
        <v>0.3</v>
      </c>
      <c r="K150">
        <v>227.36</v>
      </c>
      <c r="L150">
        <v>290.36</v>
      </c>
      <c r="M150" t="s">
        <v>115</v>
      </c>
      <c r="N150" t="s">
        <v>127</v>
      </c>
      <c r="O150">
        <f>90</f>
        <v>90</v>
      </c>
      <c r="P150">
        <f>tblROIssues[[#This Row],[LaborHours_Billed]]*tblROIssues[[#This Row],[LaborRate]]</f>
        <v>62.999999999999993</v>
      </c>
      <c r="Q150">
        <f>tblROIssues[[#This Row],[LaborHours_Correct]]*tblROIssues[[#This Row],[LaborRate]]</f>
        <v>27</v>
      </c>
      <c r="R150">
        <f>tblROIssues[[#This Row],[LaborCost_Billed]]-tblROIssues[[#This Row],[LaborCost_Correct]]</f>
        <v>35.999999999999993</v>
      </c>
      <c r="S150" t="str">
        <f>IF(tblROIssues[[#This Row],[CostOvercharge]] &gt; 120, "High",
   IF(tblROIssues[[#This Row],[CostOvercharge]] &gt; 75, "Medium",
   IF(tblROIssues[[#This Row],[CostOvercharge]] &gt; 0, "Low", "None")))</f>
        <v>Low</v>
      </c>
    </row>
    <row r="151" spans="1:19" x14ac:dyDescent="0.25">
      <c r="A151">
        <v>6</v>
      </c>
      <c r="B151">
        <v>2343379</v>
      </c>
      <c r="C151" t="s">
        <v>33</v>
      </c>
      <c r="D151" t="s">
        <v>38</v>
      </c>
      <c r="E151" t="s">
        <v>43</v>
      </c>
      <c r="F151" t="s">
        <v>46</v>
      </c>
      <c r="G151" t="s">
        <v>58</v>
      </c>
      <c r="H151" t="s">
        <v>101</v>
      </c>
      <c r="I151">
        <v>0.7</v>
      </c>
      <c r="J151">
        <v>0.3</v>
      </c>
      <c r="K151">
        <v>264.08</v>
      </c>
      <c r="L151">
        <v>327.08</v>
      </c>
      <c r="M151" t="s">
        <v>115</v>
      </c>
      <c r="N151" t="s">
        <v>173</v>
      </c>
      <c r="O151">
        <f>90</f>
        <v>90</v>
      </c>
      <c r="P151">
        <f>tblROIssues[[#This Row],[LaborHours_Billed]]*tblROIssues[[#This Row],[LaborRate]]</f>
        <v>62.999999999999993</v>
      </c>
      <c r="Q151">
        <f>tblROIssues[[#This Row],[LaborHours_Correct]]*tblROIssues[[#This Row],[LaborRate]]</f>
        <v>27</v>
      </c>
      <c r="R151">
        <f>tblROIssues[[#This Row],[LaborCost_Billed]]-tblROIssues[[#This Row],[LaborCost_Correct]]</f>
        <v>35.999999999999993</v>
      </c>
      <c r="S151" t="str">
        <f>IF(tblROIssues[[#This Row],[CostOvercharge]] &gt; 120, "High",
   IF(tblROIssues[[#This Row],[CostOvercharge]] &gt; 75, "Medium",
   IF(tblROIssues[[#This Row],[CostOvercharge]] &gt; 0, "Low", "None")))</f>
        <v>Low</v>
      </c>
    </row>
    <row r="152" spans="1:19" x14ac:dyDescent="0.25">
      <c r="A152">
        <v>8</v>
      </c>
      <c r="B152">
        <v>2343587</v>
      </c>
      <c r="C152" t="s">
        <v>19</v>
      </c>
      <c r="D152" t="s">
        <v>37</v>
      </c>
      <c r="E152" t="s">
        <v>43</v>
      </c>
      <c r="F152" t="s">
        <v>50</v>
      </c>
      <c r="G152" t="s">
        <v>58</v>
      </c>
      <c r="H152" t="s">
        <v>114</v>
      </c>
      <c r="I152">
        <v>0.7</v>
      </c>
      <c r="J152">
        <v>0.3</v>
      </c>
      <c r="K152">
        <v>61.57</v>
      </c>
      <c r="L152">
        <v>124.57</v>
      </c>
      <c r="M152" t="s">
        <v>115</v>
      </c>
      <c r="N152" t="s">
        <v>149</v>
      </c>
      <c r="O152">
        <f>90</f>
        <v>90</v>
      </c>
      <c r="P152">
        <f>tblROIssues[[#This Row],[LaborHours_Billed]]*tblROIssues[[#This Row],[LaborRate]]</f>
        <v>62.999999999999993</v>
      </c>
      <c r="Q152">
        <f>tblROIssues[[#This Row],[LaborHours_Correct]]*tblROIssues[[#This Row],[LaborRate]]</f>
        <v>27</v>
      </c>
      <c r="R152">
        <f>tblROIssues[[#This Row],[LaborCost_Billed]]-tblROIssues[[#This Row],[LaborCost_Correct]]</f>
        <v>35.999999999999993</v>
      </c>
      <c r="S152" t="str">
        <f>IF(tblROIssues[[#This Row],[CostOvercharge]] &gt; 120, "High",
   IF(tblROIssues[[#This Row],[CostOvercharge]] &gt; 75, "Medium",
   IF(tblROIssues[[#This Row],[CostOvercharge]] &gt; 0, "Low", "None")))</f>
        <v>Low</v>
      </c>
    </row>
    <row r="153" spans="1:19" x14ac:dyDescent="0.25">
      <c r="A153">
        <v>2</v>
      </c>
      <c r="B153">
        <v>2343086</v>
      </c>
      <c r="C153" t="s">
        <v>19</v>
      </c>
      <c r="D153" t="s">
        <v>38</v>
      </c>
      <c r="E153" t="s">
        <v>45</v>
      </c>
      <c r="F153" t="s">
        <v>57</v>
      </c>
      <c r="G153" t="s">
        <v>59</v>
      </c>
      <c r="H153" t="s">
        <v>68</v>
      </c>
      <c r="I153">
        <v>4.0999999999999996</v>
      </c>
      <c r="J153">
        <v>3.7</v>
      </c>
      <c r="K153">
        <v>65.2</v>
      </c>
      <c r="L153">
        <v>434.2</v>
      </c>
      <c r="M153" t="s">
        <v>115</v>
      </c>
      <c r="N153" t="s">
        <v>138</v>
      </c>
      <c r="O153">
        <f>90</f>
        <v>90</v>
      </c>
      <c r="P153">
        <f>tblROIssues[[#This Row],[LaborHours_Billed]]*tblROIssues[[#This Row],[LaborRate]]</f>
        <v>368.99999999999994</v>
      </c>
      <c r="Q153">
        <f>tblROIssues[[#This Row],[LaborHours_Correct]]*tblROIssues[[#This Row],[LaborRate]]</f>
        <v>333</v>
      </c>
      <c r="R153">
        <f>tblROIssues[[#This Row],[LaborCost_Billed]]-tblROIssues[[#This Row],[LaborCost_Correct]]</f>
        <v>35.999999999999943</v>
      </c>
      <c r="S153" t="str">
        <f>IF(tblROIssues[[#This Row],[CostOvercharge]] &gt; 120, "High",
   IF(tblROIssues[[#This Row],[CostOvercharge]] &gt; 75, "Medium",
   IF(tblROIssues[[#This Row],[CostOvercharge]] &gt; 0, "Low", "None")))</f>
        <v>Low</v>
      </c>
    </row>
    <row r="154" spans="1:19" x14ac:dyDescent="0.25">
      <c r="A154">
        <v>1</v>
      </c>
      <c r="B154">
        <v>2343037</v>
      </c>
      <c r="C154" t="s">
        <v>18</v>
      </c>
      <c r="D154" t="s">
        <v>38</v>
      </c>
      <c r="E154" t="s">
        <v>41</v>
      </c>
      <c r="F154" t="s">
        <v>55</v>
      </c>
      <c r="G154" t="s">
        <v>59</v>
      </c>
      <c r="H154" t="s">
        <v>66</v>
      </c>
      <c r="I154">
        <v>2.6</v>
      </c>
      <c r="J154">
        <v>2.2999999999999998</v>
      </c>
      <c r="K154">
        <v>360.99</v>
      </c>
      <c r="L154">
        <v>594.99</v>
      </c>
      <c r="M154" t="s">
        <v>115</v>
      </c>
      <c r="N154" t="s">
        <v>128</v>
      </c>
      <c r="O154">
        <f>90</f>
        <v>90</v>
      </c>
      <c r="P154">
        <f>tblROIssues[[#This Row],[LaborHours_Billed]]*tblROIssues[[#This Row],[LaborRate]]</f>
        <v>234</v>
      </c>
      <c r="Q154">
        <f>tblROIssues[[#This Row],[LaborHours_Correct]]*tblROIssues[[#This Row],[LaborRate]]</f>
        <v>206.99999999999997</v>
      </c>
      <c r="R154">
        <f>tblROIssues[[#This Row],[LaborCost_Billed]]-tblROIssues[[#This Row],[LaborCost_Correct]]</f>
        <v>27.000000000000028</v>
      </c>
      <c r="S154" t="str">
        <f>IF(tblROIssues[[#This Row],[CostOvercharge]] &gt; 120, "High",
   IF(tblROIssues[[#This Row],[CostOvercharge]] &gt; 75, "Medium",
   IF(tblROIssues[[#This Row],[CostOvercharge]] &gt; 0, "Low", "None")))</f>
        <v>Low</v>
      </c>
    </row>
    <row r="155" spans="1:19" x14ac:dyDescent="0.25">
      <c r="A155">
        <v>7</v>
      </c>
      <c r="B155">
        <v>2343513</v>
      </c>
      <c r="C155" t="s">
        <v>25</v>
      </c>
      <c r="D155" t="s">
        <v>39</v>
      </c>
      <c r="E155" t="s">
        <v>43</v>
      </c>
      <c r="F155" t="s">
        <v>49</v>
      </c>
      <c r="G155" t="s">
        <v>59</v>
      </c>
      <c r="H155" t="s">
        <v>105</v>
      </c>
      <c r="I155">
        <v>2.7</v>
      </c>
      <c r="J155">
        <v>2.4</v>
      </c>
      <c r="K155">
        <v>81.87</v>
      </c>
      <c r="L155">
        <v>324.87</v>
      </c>
      <c r="M155" t="s">
        <v>115</v>
      </c>
      <c r="N155" t="s">
        <v>137</v>
      </c>
      <c r="O155">
        <f>90</f>
        <v>90</v>
      </c>
      <c r="P155">
        <f>tblROIssues[[#This Row],[LaborHours_Billed]]*tblROIssues[[#This Row],[LaborRate]]</f>
        <v>243.00000000000003</v>
      </c>
      <c r="Q155">
        <f>tblROIssues[[#This Row],[LaborHours_Correct]]*tblROIssues[[#This Row],[LaborRate]]</f>
        <v>216</v>
      </c>
      <c r="R155">
        <f>tblROIssues[[#This Row],[LaborCost_Billed]]-tblROIssues[[#This Row],[LaborCost_Correct]]</f>
        <v>27.000000000000028</v>
      </c>
      <c r="S155" t="str">
        <f>IF(tblROIssues[[#This Row],[CostOvercharge]] &gt; 120, "High",
   IF(tblROIssues[[#This Row],[CostOvercharge]] &gt; 75, "Medium",
   IF(tblROIssues[[#This Row],[CostOvercharge]] &gt; 0, "Low", "None")))</f>
        <v>Low</v>
      </c>
    </row>
    <row r="156" spans="1:19" x14ac:dyDescent="0.25">
      <c r="A156">
        <v>1</v>
      </c>
      <c r="B156">
        <v>2343013</v>
      </c>
      <c r="C156" t="s">
        <v>17</v>
      </c>
      <c r="D156" t="s">
        <v>39</v>
      </c>
      <c r="E156" t="s">
        <v>41</v>
      </c>
      <c r="F156" t="s">
        <v>50</v>
      </c>
      <c r="G156" t="s">
        <v>59</v>
      </c>
      <c r="H156" t="s">
        <v>63</v>
      </c>
      <c r="I156">
        <v>2.9</v>
      </c>
      <c r="J156">
        <v>2.6</v>
      </c>
      <c r="K156">
        <v>131.47</v>
      </c>
      <c r="L156">
        <v>392.47</v>
      </c>
      <c r="M156" t="s">
        <v>115</v>
      </c>
      <c r="N156" t="s">
        <v>121</v>
      </c>
      <c r="O156">
        <f>90</f>
        <v>90</v>
      </c>
      <c r="P156">
        <f>tblROIssues[[#This Row],[LaborHours_Billed]]*tblROIssues[[#This Row],[LaborRate]]</f>
        <v>261</v>
      </c>
      <c r="Q156">
        <f>tblROIssues[[#This Row],[LaborHours_Correct]]*tblROIssues[[#This Row],[LaborRate]]</f>
        <v>234</v>
      </c>
      <c r="R156">
        <f>tblROIssues[[#This Row],[LaborCost_Billed]]-tblROIssues[[#This Row],[LaborCost_Correct]]</f>
        <v>27</v>
      </c>
      <c r="S156" t="str">
        <f>IF(tblROIssues[[#This Row],[CostOvercharge]] &gt; 120, "High",
   IF(tblROIssues[[#This Row],[CostOvercharge]] &gt; 75, "Medium",
   IF(tblROIssues[[#This Row],[CostOvercharge]] &gt; 0, "Low", "None")))</f>
        <v>Low</v>
      </c>
    </row>
    <row r="157" spans="1:19" x14ac:dyDescent="0.25">
      <c r="A157">
        <v>1</v>
      </c>
      <c r="B157">
        <v>2343063</v>
      </c>
      <c r="C157" t="s">
        <v>20</v>
      </c>
      <c r="D157" t="s">
        <v>39</v>
      </c>
      <c r="E157" t="s">
        <v>43</v>
      </c>
      <c r="F157" t="s">
        <v>52</v>
      </c>
      <c r="G157" t="s">
        <v>58</v>
      </c>
      <c r="H157" t="s">
        <v>66</v>
      </c>
      <c r="I157">
        <v>1.5</v>
      </c>
      <c r="J157">
        <v>1.2</v>
      </c>
      <c r="K157">
        <v>418.36</v>
      </c>
      <c r="L157">
        <v>553.36</v>
      </c>
      <c r="M157" t="s">
        <v>115</v>
      </c>
      <c r="N157" t="s">
        <v>124</v>
      </c>
      <c r="O157">
        <f>90</f>
        <v>90</v>
      </c>
      <c r="P157">
        <f>tblROIssues[[#This Row],[LaborHours_Billed]]*tblROIssues[[#This Row],[LaborRate]]</f>
        <v>135</v>
      </c>
      <c r="Q157">
        <f>tblROIssues[[#This Row],[LaborHours_Correct]]*tblROIssues[[#This Row],[LaborRate]]</f>
        <v>108</v>
      </c>
      <c r="R157">
        <f>tblROIssues[[#This Row],[LaborCost_Billed]]-tblROIssues[[#This Row],[LaborCost_Correct]]</f>
        <v>27</v>
      </c>
      <c r="S157" t="str">
        <f>IF(tblROIssues[[#This Row],[CostOvercharge]] &gt; 120, "High",
   IF(tblROIssues[[#This Row],[CostOvercharge]] &gt; 75, "Medium",
   IF(tblROIssues[[#This Row],[CostOvercharge]] &gt; 0, "Low", "None")))</f>
        <v>Low</v>
      </c>
    </row>
    <row r="158" spans="1:19" x14ac:dyDescent="0.25">
      <c r="A158">
        <v>1</v>
      </c>
      <c r="B158">
        <v>2343019</v>
      </c>
      <c r="C158" t="s">
        <v>19</v>
      </c>
      <c r="D158" t="s">
        <v>38</v>
      </c>
      <c r="E158" t="s">
        <v>43</v>
      </c>
      <c r="F158" t="s">
        <v>47</v>
      </c>
      <c r="G158" t="s">
        <v>58</v>
      </c>
      <c r="H158" t="s">
        <v>64</v>
      </c>
      <c r="I158">
        <v>2.9</v>
      </c>
      <c r="J158">
        <v>2.6</v>
      </c>
      <c r="K158">
        <v>29.27</v>
      </c>
      <c r="L158">
        <v>290.27</v>
      </c>
      <c r="M158" t="s">
        <v>115</v>
      </c>
      <c r="N158" t="s">
        <v>118</v>
      </c>
      <c r="O158">
        <f>90</f>
        <v>90</v>
      </c>
      <c r="P158">
        <f>tblROIssues[[#This Row],[LaborHours_Billed]]*tblROIssues[[#This Row],[LaborRate]]</f>
        <v>261</v>
      </c>
      <c r="Q158">
        <f>tblROIssues[[#This Row],[LaborHours_Correct]]*tblROIssues[[#This Row],[LaborRate]]</f>
        <v>234</v>
      </c>
      <c r="R158">
        <f>tblROIssues[[#This Row],[LaborCost_Billed]]-tblROIssues[[#This Row],[LaborCost_Correct]]</f>
        <v>27</v>
      </c>
      <c r="S158" t="str">
        <f>IF(tblROIssues[[#This Row],[CostOvercharge]] &gt; 120, "High",
   IF(tblROIssues[[#This Row],[CostOvercharge]] &gt; 75, "Medium",
   IF(tblROIssues[[#This Row],[CostOvercharge]] &gt; 0, "Low", "None")))</f>
        <v>Low</v>
      </c>
    </row>
    <row r="159" spans="1:19" x14ac:dyDescent="0.25">
      <c r="A159">
        <v>5</v>
      </c>
      <c r="B159">
        <v>2343331</v>
      </c>
      <c r="C159" t="s">
        <v>23</v>
      </c>
      <c r="D159" t="s">
        <v>39</v>
      </c>
      <c r="E159" t="s">
        <v>41</v>
      </c>
      <c r="F159" t="s">
        <v>56</v>
      </c>
      <c r="G159" t="s">
        <v>59</v>
      </c>
      <c r="H159" t="s">
        <v>93</v>
      </c>
      <c r="I159">
        <v>4.3</v>
      </c>
      <c r="J159">
        <v>4</v>
      </c>
      <c r="K159">
        <v>416.96</v>
      </c>
      <c r="L159">
        <v>803.96</v>
      </c>
      <c r="M159" t="s">
        <v>116</v>
      </c>
      <c r="N159" t="s">
        <v>169</v>
      </c>
      <c r="O159">
        <f>90</f>
        <v>90</v>
      </c>
      <c r="P159">
        <f>tblROIssues[[#This Row],[LaborHours_Billed]]*tblROIssues[[#This Row],[LaborRate]]</f>
        <v>387</v>
      </c>
      <c r="Q159">
        <f>tblROIssues[[#This Row],[LaborHours_Correct]]*tblROIssues[[#This Row],[LaborRate]]</f>
        <v>360</v>
      </c>
      <c r="R159">
        <f>tblROIssues[[#This Row],[LaborCost_Billed]]-tblROIssues[[#This Row],[LaborCost_Correct]]</f>
        <v>27</v>
      </c>
      <c r="S159" t="str">
        <f>IF(tblROIssues[[#This Row],[CostOvercharge]] &gt; 120, "High",
   IF(tblROIssues[[#This Row],[CostOvercharge]] &gt; 75, "Medium",
   IF(tblROIssues[[#This Row],[CostOvercharge]] &gt; 0, "Low", "None")))</f>
        <v>Low</v>
      </c>
    </row>
    <row r="160" spans="1:19" x14ac:dyDescent="0.25">
      <c r="A160">
        <v>6</v>
      </c>
      <c r="B160">
        <v>2343426</v>
      </c>
      <c r="C160" t="s">
        <v>26</v>
      </c>
      <c r="D160" t="s">
        <v>39</v>
      </c>
      <c r="E160" t="s">
        <v>43</v>
      </c>
      <c r="F160" t="s">
        <v>52</v>
      </c>
      <c r="G160" t="s">
        <v>58</v>
      </c>
      <c r="H160" t="s">
        <v>96</v>
      </c>
      <c r="I160">
        <v>3.8</v>
      </c>
      <c r="J160">
        <v>3.5</v>
      </c>
      <c r="K160">
        <v>357.87</v>
      </c>
      <c r="L160">
        <v>699.87</v>
      </c>
      <c r="M160" t="s">
        <v>116</v>
      </c>
      <c r="N160" t="s">
        <v>124</v>
      </c>
      <c r="O160">
        <f>90</f>
        <v>90</v>
      </c>
      <c r="P160">
        <f>tblROIssues[[#This Row],[LaborHours_Billed]]*tblROIssues[[#This Row],[LaborRate]]</f>
        <v>342</v>
      </c>
      <c r="Q160">
        <f>tblROIssues[[#This Row],[LaborHours_Correct]]*tblROIssues[[#This Row],[LaborRate]]</f>
        <v>315</v>
      </c>
      <c r="R160">
        <f>tblROIssues[[#This Row],[LaborCost_Billed]]-tblROIssues[[#This Row],[LaborCost_Correct]]</f>
        <v>27</v>
      </c>
      <c r="S160" t="str">
        <f>IF(tblROIssues[[#This Row],[CostOvercharge]] &gt; 120, "High",
   IF(tblROIssues[[#This Row],[CostOvercharge]] &gt; 75, "Medium",
   IF(tblROIssues[[#This Row],[CostOvercharge]] &gt; 0, "Low", "None")))</f>
        <v>Low</v>
      </c>
    </row>
    <row r="161" spans="1:19" x14ac:dyDescent="0.25">
      <c r="A161">
        <v>6</v>
      </c>
      <c r="B161">
        <v>2343421</v>
      </c>
      <c r="C161" t="s">
        <v>24</v>
      </c>
      <c r="D161" t="s">
        <v>38</v>
      </c>
      <c r="E161" t="s">
        <v>41</v>
      </c>
      <c r="F161" t="s">
        <v>53</v>
      </c>
      <c r="G161" t="s">
        <v>59</v>
      </c>
      <c r="H161" t="s">
        <v>101</v>
      </c>
      <c r="I161">
        <v>4.2</v>
      </c>
      <c r="J161">
        <v>3.9</v>
      </c>
      <c r="K161">
        <v>29.92</v>
      </c>
      <c r="L161">
        <v>407.92</v>
      </c>
      <c r="M161" t="s">
        <v>115</v>
      </c>
      <c r="N161" t="s">
        <v>151</v>
      </c>
      <c r="O161">
        <f>90</f>
        <v>90</v>
      </c>
      <c r="P161">
        <f>tblROIssues[[#This Row],[LaborHours_Billed]]*tblROIssues[[#This Row],[LaborRate]]</f>
        <v>378</v>
      </c>
      <c r="Q161">
        <f>tblROIssues[[#This Row],[LaborHours_Correct]]*tblROIssues[[#This Row],[LaborRate]]</f>
        <v>351</v>
      </c>
      <c r="R161">
        <f>tblROIssues[[#This Row],[LaborCost_Billed]]-tblROIssues[[#This Row],[LaborCost_Correct]]</f>
        <v>27</v>
      </c>
      <c r="S161" t="str">
        <f>IF(tblROIssues[[#This Row],[CostOvercharge]] &gt; 120, "High",
   IF(tblROIssues[[#This Row],[CostOvercharge]] &gt; 75, "Medium",
   IF(tblROIssues[[#This Row],[CostOvercharge]] &gt; 0, "Low", "None")))</f>
        <v>Low</v>
      </c>
    </row>
    <row r="162" spans="1:19" x14ac:dyDescent="0.25">
      <c r="A162">
        <v>7</v>
      </c>
      <c r="B162">
        <v>2343473</v>
      </c>
      <c r="C162" t="s">
        <v>17</v>
      </c>
      <c r="D162" t="s">
        <v>39</v>
      </c>
      <c r="E162" t="s">
        <v>43</v>
      </c>
      <c r="F162" t="s">
        <v>46</v>
      </c>
      <c r="G162" t="s">
        <v>59</v>
      </c>
      <c r="H162" t="s">
        <v>103</v>
      </c>
      <c r="I162">
        <v>3.3</v>
      </c>
      <c r="J162">
        <v>3</v>
      </c>
      <c r="K162">
        <v>259.33</v>
      </c>
      <c r="L162">
        <v>556.33000000000004</v>
      </c>
      <c r="M162" t="s">
        <v>115</v>
      </c>
      <c r="N162" t="s">
        <v>141</v>
      </c>
      <c r="O162">
        <f>90</f>
        <v>90</v>
      </c>
      <c r="P162">
        <f>tblROIssues[[#This Row],[LaborHours_Billed]]*tblROIssues[[#This Row],[LaborRate]]</f>
        <v>297</v>
      </c>
      <c r="Q162">
        <f>tblROIssues[[#This Row],[LaborHours_Correct]]*tblROIssues[[#This Row],[LaborRate]]</f>
        <v>270</v>
      </c>
      <c r="R162">
        <f>tblROIssues[[#This Row],[LaborCost_Billed]]-tblROIssues[[#This Row],[LaborCost_Correct]]</f>
        <v>27</v>
      </c>
      <c r="S162" t="str">
        <f>IF(tblROIssues[[#This Row],[CostOvercharge]] &gt; 120, "High",
   IF(tblROIssues[[#This Row],[CostOvercharge]] &gt; 75, "Medium",
   IF(tblROIssues[[#This Row],[CostOvercharge]] &gt; 0, "Low", "None")))</f>
        <v>Low</v>
      </c>
    </row>
    <row r="163" spans="1:19" x14ac:dyDescent="0.25">
      <c r="A163">
        <v>7</v>
      </c>
      <c r="B163">
        <v>2343499</v>
      </c>
      <c r="C163" t="s">
        <v>18</v>
      </c>
      <c r="D163" t="s">
        <v>38</v>
      </c>
      <c r="E163" t="s">
        <v>41</v>
      </c>
      <c r="F163" t="s">
        <v>47</v>
      </c>
      <c r="G163" t="s">
        <v>59</v>
      </c>
      <c r="H163" t="s">
        <v>105</v>
      </c>
      <c r="I163">
        <v>0.6</v>
      </c>
      <c r="J163">
        <v>0.3</v>
      </c>
      <c r="K163">
        <v>94.46</v>
      </c>
      <c r="L163">
        <v>148.46</v>
      </c>
      <c r="M163" t="s">
        <v>115</v>
      </c>
      <c r="N163" t="s">
        <v>118</v>
      </c>
      <c r="O163">
        <f>90</f>
        <v>90</v>
      </c>
      <c r="P163">
        <f>tblROIssues[[#This Row],[LaborHours_Billed]]*tblROIssues[[#This Row],[LaborRate]]</f>
        <v>54</v>
      </c>
      <c r="Q163">
        <f>tblROIssues[[#This Row],[LaborHours_Correct]]*tblROIssues[[#This Row],[LaborRate]]</f>
        <v>27</v>
      </c>
      <c r="R163">
        <f>tblROIssues[[#This Row],[LaborCost_Billed]]-tblROIssues[[#This Row],[LaborCost_Correct]]</f>
        <v>27</v>
      </c>
      <c r="S163" t="str">
        <f>IF(tblROIssues[[#This Row],[CostOvercharge]] &gt; 120, "High",
   IF(tblROIssues[[#This Row],[CostOvercharge]] &gt; 75, "Medium",
   IF(tblROIssues[[#This Row],[CostOvercharge]] &gt; 0, "Low", "None")))</f>
        <v>Low</v>
      </c>
    </row>
    <row r="164" spans="1:19" x14ac:dyDescent="0.25">
      <c r="A164">
        <v>8</v>
      </c>
      <c r="B164">
        <v>2343566</v>
      </c>
      <c r="C164" t="s">
        <v>31</v>
      </c>
      <c r="D164" t="s">
        <v>38</v>
      </c>
      <c r="E164" t="s">
        <v>41</v>
      </c>
      <c r="F164" t="s">
        <v>48</v>
      </c>
      <c r="G164" t="s">
        <v>59</v>
      </c>
      <c r="H164" t="s">
        <v>114</v>
      </c>
      <c r="I164">
        <v>0.6</v>
      </c>
      <c r="J164">
        <v>0.3</v>
      </c>
      <c r="K164">
        <v>110.41</v>
      </c>
      <c r="L164">
        <v>164.41</v>
      </c>
      <c r="M164" t="s">
        <v>115</v>
      </c>
      <c r="N164" t="s">
        <v>135</v>
      </c>
      <c r="O164">
        <f>90</f>
        <v>90</v>
      </c>
      <c r="P164">
        <f>tblROIssues[[#This Row],[LaborHours_Billed]]*tblROIssues[[#This Row],[LaborRate]]</f>
        <v>54</v>
      </c>
      <c r="Q164">
        <f>tblROIssues[[#This Row],[LaborHours_Correct]]*tblROIssues[[#This Row],[LaborRate]]</f>
        <v>27</v>
      </c>
      <c r="R164">
        <f>tblROIssues[[#This Row],[LaborCost_Billed]]-tblROIssues[[#This Row],[LaborCost_Correct]]</f>
        <v>27</v>
      </c>
      <c r="S164" t="str">
        <f>IF(tblROIssues[[#This Row],[CostOvercharge]] &gt; 120, "High",
   IF(tblROIssues[[#This Row],[CostOvercharge]] &gt; 75, "Medium",
   IF(tblROIssues[[#This Row],[CostOvercharge]] &gt; 0, "Low", "None")))</f>
        <v>Low</v>
      </c>
    </row>
    <row r="165" spans="1:19" x14ac:dyDescent="0.25">
      <c r="A165">
        <v>6</v>
      </c>
      <c r="B165">
        <v>2343393</v>
      </c>
      <c r="C165" t="s">
        <v>27</v>
      </c>
      <c r="D165" t="s">
        <v>40</v>
      </c>
      <c r="E165" t="s">
        <v>41</v>
      </c>
      <c r="F165" t="s">
        <v>47</v>
      </c>
      <c r="G165" t="s">
        <v>59</v>
      </c>
      <c r="H165" t="s">
        <v>98</v>
      </c>
      <c r="I165">
        <v>4.4000000000000004</v>
      </c>
      <c r="J165">
        <v>4.2</v>
      </c>
      <c r="K165">
        <v>179.04</v>
      </c>
      <c r="L165">
        <v>575.04</v>
      </c>
      <c r="M165" t="s">
        <v>116</v>
      </c>
      <c r="N165" t="s">
        <v>152</v>
      </c>
      <c r="O165">
        <f>90</f>
        <v>90</v>
      </c>
      <c r="P165">
        <f>tblROIssues[[#This Row],[LaborHours_Billed]]*tblROIssues[[#This Row],[LaborRate]]</f>
        <v>396.00000000000006</v>
      </c>
      <c r="Q165">
        <f>tblROIssues[[#This Row],[LaborHours_Correct]]*tblROIssues[[#This Row],[LaborRate]]</f>
        <v>378</v>
      </c>
      <c r="R165">
        <f>tblROIssues[[#This Row],[LaborCost_Billed]]-tblROIssues[[#This Row],[LaborCost_Correct]]</f>
        <v>18.000000000000057</v>
      </c>
      <c r="S165" t="str">
        <f>IF(tblROIssues[[#This Row],[CostOvercharge]] &gt; 120, "High",
   IF(tblROIssues[[#This Row],[CostOvercharge]] &gt; 75, "Medium",
   IF(tblROIssues[[#This Row],[CostOvercharge]] &gt; 0, "Low", "None")))</f>
        <v>Low</v>
      </c>
    </row>
    <row r="166" spans="1:19" x14ac:dyDescent="0.25">
      <c r="A166">
        <v>2</v>
      </c>
      <c r="B166">
        <v>2343120</v>
      </c>
      <c r="C166" t="s">
        <v>33</v>
      </c>
      <c r="D166" t="s">
        <v>37</v>
      </c>
      <c r="E166" t="s">
        <v>45</v>
      </c>
      <c r="F166" t="s">
        <v>56</v>
      </c>
      <c r="G166" t="s">
        <v>58</v>
      </c>
      <c r="H166" t="s">
        <v>68</v>
      </c>
      <c r="I166">
        <v>3</v>
      </c>
      <c r="J166">
        <v>2.8</v>
      </c>
      <c r="K166">
        <v>72.73</v>
      </c>
      <c r="L166">
        <v>342.73</v>
      </c>
      <c r="M166" t="s">
        <v>115</v>
      </c>
      <c r="N166" t="s">
        <v>139</v>
      </c>
      <c r="O166">
        <f>90</f>
        <v>90</v>
      </c>
      <c r="P166">
        <f>tblROIssues[[#This Row],[LaborHours_Billed]]*tblROIssues[[#This Row],[LaborRate]]</f>
        <v>270</v>
      </c>
      <c r="Q166">
        <f>tblROIssues[[#This Row],[LaborHours_Correct]]*tblROIssues[[#This Row],[LaborRate]]</f>
        <v>251.99999999999997</v>
      </c>
      <c r="R166">
        <f>tblROIssues[[#This Row],[LaborCost_Billed]]-tblROIssues[[#This Row],[LaborCost_Correct]]</f>
        <v>18.000000000000028</v>
      </c>
      <c r="S166" t="str">
        <f>IF(tblROIssues[[#This Row],[CostOvercharge]] &gt; 120, "High",
   IF(tblROIssues[[#This Row],[CostOvercharge]] &gt; 75, "Medium",
   IF(tblROIssues[[#This Row],[CostOvercharge]] &gt; 0, "Low", "None")))</f>
        <v>Low</v>
      </c>
    </row>
    <row r="167" spans="1:19" x14ac:dyDescent="0.25">
      <c r="A167">
        <v>1</v>
      </c>
      <c r="B167">
        <v>2343033</v>
      </c>
      <c r="C167" t="s">
        <v>21</v>
      </c>
      <c r="D167" t="s">
        <v>38</v>
      </c>
      <c r="E167" t="s">
        <v>41</v>
      </c>
      <c r="F167" t="s">
        <v>52</v>
      </c>
      <c r="G167" t="s">
        <v>59</v>
      </c>
      <c r="H167" t="s">
        <v>64</v>
      </c>
      <c r="I167">
        <v>4.2</v>
      </c>
      <c r="J167">
        <v>4</v>
      </c>
      <c r="K167">
        <v>88.19</v>
      </c>
      <c r="L167">
        <v>466.19</v>
      </c>
      <c r="M167" t="s">
        <v>115</v>
      </c>
      <c r="N167" t="s">
        <v>126</v>
      </c>
      <c r="O167">
        <f>90</f>
        <v>90</v>
      </c>
      <c r="P167">
        <f>tblROIssues[[#This Row],[LaborHours_Billed]]*tblROIssues[[#This Row],[LaborRate]]</f>
        <v>378</v>
      </c>
      <c r="Q167">
        <f>tblROIssues[[#This Row],[LaborHours_Correct]]*tblROIssues[[#This Row],[LaborRate]]</f>
        <v>360</v>
      </c>
      <c r="R167">
        <f>tblROIssues[[#This Row],[LaborCost_Billed]]-tblROIssues[[#This Row],[LaborCost_Correct]]</f>
        <v>18</v>
      </c>
      <c r="S167" t="str">
        <f>IF(tblROIssues[[#This Row],[CostOvercharge]] &gt; 120, "High",
   IF(tblROIssues[[#This Row],[CostOvercharge]] &gt; 75, "Medium",
   IF(tblROIssues[[#This Row],[CostOvercharge]] &gt; 0, "Low", "None")))</f>
        <v>Low</v>
      </c>
    </row>
    <row r="168" spans="1:19" x14ac:dyDescent="0.25">
      <c r="A168">
        <v>2</v>
      </c>
      <c r="B168">
        <v>2343082</v>
      </c>
      <c r="C168" t="s">
        <v>25</v>
      </c>
      <c r="D168" t="s">
        <v>39</v>
      </c>
      <c r="E168" t="s">
        <v>45</v>
      </c>
      <c r="F168" t="s">
        <v>49</v>
      </c>
      <c r="G168" t="s">
        <v>58</v>
      </c>
      <c r="H168" t="s">
        <v>68</v>
      </c>
      <c r="I168">
        <v>0.5</v>
      </c>
      <c r="J168">
        <v>0.3</v>
      </c>
      <c r="K168">
        <v>226.21</v>
      </c>
      <c r="L168">
        <v>271.20999999999998</v>
      </c>
      <c r="M168" t="s">
        <v>115</v>
      </c>
      <c r="N168" t="s">
        <v>137</v>
      </c>
      <c r="O168">
        <f>90</f>
        <v>90</v>
      </c>
      <c r="P168">
        <f>tblROIssues[[#This Row],[LaborHours_Billed]]*tblROIssues[[#This Row],[LaborRate]]</f>
        <v>45</v>
      </c>
      <c r="Q168">
        <f>tblROIssues[[#This Row],[LaborHours_Correct]]*tblROIssues[[#This Row],[LaborRate]]</f>
        <v>27</v>
      </c>
      <c r="R168">
        <f>tblROIssues[[#This Row],[LaborCost_Billed]]-tblROIssues[[#This Row],[LaborCost_Correct]]</f>
        <v>18</v>
      </c>
      <c r="S168" t="str">
        <f>IF(tblROIssues[[#This Row],[CostOvercharge]] &gt; 120, "High",
   IF(tblROIssues[[#This Row],[CostOvercharge]] &gt; 75, "Medium",
   IF(tblROIssues[[#This Row],[CostOvercharge]] &gt; 0, "Low", "None")))</f>
        <v>Low</v>
      </c>
    </row>
    <row r="169" spans="1:19" x14ac:dyDescent="0.25">
      <c r="A169">
        <v>2</v>
      </c>
      <c r="B169">
        <v>2343107</v>
      </c>
      <c r="C169" t="s">
        <v>25</v>
      </c>
      <c r="D169" t="s">
        <v>37</v>
      </c>
      <c r="E169" t="s">
        <v>41</v>
      </c>
      <c r="F169" t="s">
        <v>56</v>
      </c>
      <c r="G169" t="s">
        <v>59</v>
      </c>
      <c r="H169" t="s">
        <v>67</v>
      </c>
      <c r="I169">
        <v>1.7</v>
      </c>
      <c r="J169">
        <v>1.5</v>
      </c>
      <c r="K169">
        <v>416.11</v>
      </c>
      <c r="L169">
        <v>569.11</v>
      </c>
      <c r="M169" t="s">
        <v>115</v>
      </c>
      <c r="N169" t="s">
        <v>139</v>
      </c>
      <c r="O169">
        <f>90</f>
        <v>90</v>
      </c>
      <c r="P169">
        <f>tblROIssues[[#This Row],[LaborHours_Billed]]*tblROIssues[[#This Row],[LaborRate]]</f>
        <v>153</v>
      </c>
      <c r="Q169">
        <f>tblROIssues[[#This Row],[LaborHours_Correct]]*tblROIssues[[#This Row],[LaborRate]]</f>
        <v>135</v>
      </c>
      <c r="R169">
        <f>tblROIssues[[#This Row],[LaborCost_Billed]]-tblROIssues[[#This Row],[LaborCost_Correct]]</f>
        <v>18</v>
      </c>
      <c r="S169" t="str">
        <f>IF(tblROIssues[[#This Row],[CostOvercharge]] &gt; 120, "High",
   IF(tblROIssues[[#This Row],[CostOvercharge]] &gt; 75, "Medium",
   IF(tblROIssues[[#This Row],[CostOvercharge]] &gt; 0, "Low", "None")))</f>
        <v>Low</v>
      </c>
    </row>
    <row r="170" spans="1:19" x14ac:dyDescent="0.25">
      <c r="A170">
        <v>3</v>
      </c>
      <c r="B170">
        <v>2343165</v>
      </c>
      <c r="C170" t="s">
        <v>31</v>
      </c>
      <c r="D170" t="s">
        <v>40</v>
      </c>
      <c r="E170" t="s">
        <v>44</v>
      </c>
      <c r="F170" t="s">
        <v>46</v>
      </c>
      <c r="G170" t="s">
        <v>59</v>
      </c>
      <c r="H170" t="s">
        <v>75</v>
      </c>
      <c r="I170">
        <v>0.5</v>
      </c>
      <c r="J170">
        <v>0.3</v>
      </c>
      <c r="K170">
        <v>244.19</v>
      </c>
      <c r="L170">
        <v>289.19</v>
      </c>
      <c r="M170" t="s">
        <v>116</v>
      </c>
      <c r="N170" t="s">
        <v>144</v>
      </c>
      <c r="O170">
        <f>90</f>
        <v>90</v>
      </c>
      <c r="P170">
        <f>tblROIssues[[#This Row],[LaborHours_Billed]]*tblROIssues[[#This Row],[LaborRate]]</f>
        <v>45</v>
      </c>
      <c r="Q170">
        <f>tblROIssues[[#This Row],[LaborHours_Correct]]*tblROIssues[[#This Row],[LaborRate]]</f>
        <v>27</v>
      </c>
      <c r="R170">
        <f>tblROIssues[[#This Row],[LaborCost_Billed]]-tblROIssues[[#This Row],[LaborCost_Correct]]</f>
        <v>18</v>
      </c>
      <c r="S170" t="str">
        <f>IF(tblROIssues[[#This Row],[CostOvercharge]] &gt; 120, "High",
   IF(tblROIssues[[#This Row],[CostOvercharge]] &gt; 75, "Medium",
   IF(tblROIssues[[#This Row],[CostOvercharge]] &gt; 0, "Low", "None")))</f>
        <v>Low</v>
      </c>
    </row>
    <row r="171" spans="1:19" x14ac:dyDescent="0.25">
      <c r="A171">
        <v>3</v>
      </c>
      <c r="B171">
        <v>2343172</v>
      </c>
      <c r="C171" t="s">
        <v>21</v>
      </c>
      <c r="D171" t="s">
        <v>40</v>
      </c>
      <c r="E171" t="s">
        <v>41</v>
      </c>
      <c r="F171" t="s">
        <v>47</v>
      </c>
      <c r="G171" t="s">
        <v>59</v>
      </c>
      <c r="H171" t="s">
        <v>77</v>
      </c>
      <c r="I171">
        <v>0.5</v>
      </c>
      <c r="J171">
        <v>0.3</v>
      </c>
      <c r="K171">
        <v>243.29</v>
      </c>
      <c r="L171">
        <v>288.29000000000002</v>
      </c>
      <c r="M171" t="s">
        <v>116</v>
      </c>
      <c r="N171" t="s">
        <v>152</v>
      </c>
      <c r="O171">
        <f>90</f>
        <v>90</v>
      </c>
      <c r="P171">
        <f>tblROIssues[[#This Row],[LaborHours_Billed]]*tblROIssues[[#This Row],[LaborRate]]</f>
        <v>45</v>
      </c>
      <c r="Q171">
        <f>tblROIssues[[#This Row],[LaborHours_Correct]]*tblROIssues[[#This Row],[LaborRate]]</f>
        <v>27</v>
      </c>
      <c r="R171">
        <f>tblROIssues[[#This Row],[LaborCost_Billed]]-tblROIssues[[#This Row],[LaborCost_Correct]]</f>
        <v>18</v>
      </c>
      <c r="S171" t="str">
        <f>IF(tblROIssues[[#This Row],[CostOvercharge]] &gt; 120, "High",
   IF(tblROIssues[[#This Row],[CostOvercharge]] &gt; 75, "Medium",
   IF(tblROIssues[[#This Row],[CostOvercharge]] &gt; 0, "Low", "None")))</f>
        <v>Low</v>
      </c>
    </row>
    <row r="172" spans="1:19" x14ac:dyDescent="0.25">
      <c r="A172">
        <v>3</v>
      </c>
      <c r="B172">
        <v>2343195</v>
      </c>
      <c r="C172" t="s">
        <v>20</v>
      </c>
      <c r="D172" t="s">
        <v>37</v>
      </c>
      <c r="E172" t="s">
        <v>41</v>
      </c>
      <c r="F172" t="s">
        <v>46</v>
      </c>
      <c r="G172" t="s">
        <v>58</v>
      </c>
      <c r="H172" t="s">
        <v>79</v>
      </c>
      <c r="I172">
        <v>0.5</v>
      </c>
      <c r="J172">
        <v>0.3</v>
      </c>
      <c r="K172">
        <v>316.64999999999998</v>
      </c>
      <c r="L172">
        <v>361.65</v>
      </c>
      <c r="M172" t="s">
        <v>115</v>
      </c>
      <c r="N172" t="s">
        <v>117</v>
      </c>
      <c r="O172">
        <f>90</f>
        <v>90</v>
      </c>
      <c r="P172">
        <f>tblROIssues[[#This Row],[LaborHours_Billed]]*tblROIssues[[#This Row],[LaborRate]]</f>
        <v>45</v>
      </c>
      <c r="Q172">
        <f>tblROIssues[[#This Row],[LaborHours_Correct]]*tblROIssues[[#This Row],[LaborRate]]</f>
        <v>27</v>
      </c>
      <c r="R172">
        <f>tblROIssues[[#This Row],[LaborCost_Billed]]-tblROIssues[[#This Row],[LaborCost_Correct]]</f>
        <v>18</v>
      </c>
      <c r="S172" t="str">
        <f>IF(tblROIssues[[#This Row],[CostOvercharge]] &gt; 120, "High",
   IF(tblROIssues[[#This Row],[CostOvercharge]] &gt; 75, "Medium",
   IF(tblROIssues[[#This Row],[CostOvercharge]] &gt; 0, "Low", "None")))</f>
        <v>Low</v>
      </c>
    </row>
    <row r="173" spans="1:19" x14ac:dyDescent="0.25">
      <c r="A173">
        <v>5</v>
      </c>
      <c r="B173">
        <v>2343314</v>
      </c>
      <c r="C173" t="s">
        <v>33</v>
      </c>
      <c r="D173" t="s">
        <v>37</v>
      </c>
      <c r="E173" t="s">
        <v>43</v>
      </c>
      <c r="F173" t="s">
        <v>46</v>
      </c>
      <c r="G173" t="s">
        <v>59</v>
      </c>
      <c r="H173" t="s">
        <v>91</v>
      </c>
      <c r="I173">
        <v>1.8</v>
      </c>
      <c r="J173">
        <v>1.6</v>
      </c>
      <c r="K173">
        <v>302.20999999999998</v>
      </c>
      <c r="L173">
        <v>464.21</v>
      </c>
      <c r="M173" t="s">
        <v>115</v>
      </c>
      <c r="N173" t="s">
        <v>117</v>
      </c>
      <c r="O173">
        <f>90</f>
        <v>90</v>
      </c>
      <c r="P173">
        <f>tblROIssues[[#This Row],[LaborHours_Billed]]*tblROIssues[[#This Row],[LaborRate]]</f>
        <v>162</v>
      </c>
      <c r="Q173">
        <f>tblROIssues[[#This Row],[LaborHours_Correct]]*tblROIssues[[#This Row],[LaborRate]]</f>
        <v>144</v>
      </c>
      <c r="R173">
        <f>tblROIssues[[#This Row],[LaborCost_Billed]]-tblROIssues[[#This Row],[LaborCost_Correct]]</f>
        <v>18</v>
      </c>
      <c r="S173" t="str">
        <f>IF(tblROIssues[[#This Row],[CostOvercharge]] &gt; 120, "High",
   IF(tblROIssues[[#This Row],[CostOvercharge]] &gt; 75, "Medium",
   IF(tblROIssues[[#This Row],[CostOvercharge]] &gt; 0, "Low", "None")))</f>
        <v>Low</v>
      </c>
    </row>
    <row r="174" spans="1:19" x14ac:dyDescent="0.25">
      <c r="A174">
        <v>5</v>
      </c>
      <c r="B174">
        <v>2343319</v>
      </c>
      <c r="C174" t="s">
        <v>34</v>
      </c>
      <c r="D174" t="s">
        <v>37</v>
      </c>
      <c r="E174" t="s">
        <v>41</v>
      </c>
      <c r="F174" t="s">
        <v>47</v>
      </c>
      <c r="G174" t="s">
        <v>58</v>
      </c>
      <c r="H174" t="s">
        <v>93</v>
      </c>
      <c r="I174">
        <v>2</v>
      </c>
      <c r="J174">
        <v>1.8</v>
      </c>
      <c r="K174">
        <v>12.95</v>
      </c>
      <c r="L174">
        <v>192.95</v>
      </c>
      <c r="M174" t="s">
        <v>115</v>
      </c>
      <c r="N174" t="s">
        <v>146</v>
      </c>
      <c r="O174">
        <f>90</f>
        <v>90</v>
      </c>
      <c r="P174">
        <f>tblROIssues[[#This Row],[LaborHours_Billed]]*tblROIssues[[#This Row],[LaborRate]]</f>
        <v>180</v>
      </c>
      <c r="Q174">
        <f>tblROIssues[[#This Row],[LaborHours_Correct]]*tblROIssues[[#This Row],[LaborRate]]</f>
        <v>162</v>
      </c>
      <c r="R174">
        <f>tblROIssues[[#This Row],[LaborCost_Billed]]-tblROIssues[[#This Row],[LaborCost_Correct]]</f>
        <v>18</v>
      </c>
      <c r="S174" t="str">
        <f>IF(tblROIssues[[#This Row],[CostOvercharge]] &gt; 120, "High",
   IF(tblROIssues[[#This Row],[CostOvercharge]] &gt; 75, "Medium",
   IF(tblROIssues[[#This Row],[CostOvercharge]] &gt; 0, "Low", "None")))</f>
        <v>Low</v>
      </c>
    </row>
    <row r="175" spans="1:19" x14ac:dyDescent="0.25">
      <c r="A175">
        <v>6</v>
      </c>
      <c r="B175">
        <v>2343354</v>
      </c>
      <c r="C175" t="s">
        <v>16</v>
      </c>
      <c r="D175" t="s">
        <v>39</v>
      </c>
      <c r="E175" t="s">
        <v>41</v>
      </c>
      <c r="F175" t="s">
        <v>46</v>
      </c>
      <c r="G175" t="s">
        <v>58</v>
      </c>
      <c r="H175" t="s">
        <v>97</v>
      </c>
      <c r="I175">
        <v>0.5</v>
      </c>
      <c r="J175">
        <v>0.3</v>
      </c>
      <c r="K175">
        <v>282.56</v>
      </c>
      <c r="L175">
        <v>327.56</v>
      </c>
      <c r="M175" t="s">
        <v>115</v>
      </c>
      <c r="N175" t="s">
        <v>141</v>
      </c>
      <c r="O175">
        <f>90</f>
        <v>90</v>
      </c>
      <c r="P175">
        <f>tblROIssues[[#This Row],[LaborHours_Billed]]*tblROIssues[[#This Row],[LaborRate]]</f>
        <v>45</v>
      </c>
      <c r="Q175">
        <f>tblROIssues[[#This Row],[LaborHours_Correct]]*tblROIssues[[#This Row],[LaborRate]]</f>
        <v>27</v>
      </c>
      <c r="R175">
        <f>tblROIssues[[#This Row],[LaborCost_Billed]]-tblROIssues[[#This Row],[LaborCost_Correct]]</f>
        <v>18</v>
      </c>
      <c r="S175" t="str">
        <f>IF(tblROIssues[[#This Row],[CostOvercharge]] &gt; 120, "High",
   IF(tblROIssues[[#This Row],[CostOvercharge]] &gt; 75, "Medium",
   IF(tblROIssues[[#This Row],[CostOvercharge]] &gt; 0, "Low", "None")))</f>
        <v>Low</v>
      </c>
    </row>
    <row r="176" spans="1:19" x14ac:dyDescent="0.25">
      <c r="A176">
        <v>7</v>
      </c>
      <c r="B176">
        <v>2343497</v>
      </c>
      <c r="C176" t="s">
        <v>19</v>
      </c>
      <c r="D176" t="s">
        <v>37</v>
      </c>
      <c r="E176" t="s">
        <v>41</v>
      </c>
      <c r="F176" t="s">
        <v>56</v>
      </c>
      <c r="G176" t="s">
        <v>58</v>
      </c>
      <c r="H176" t="s">
        <v>107</v>
      </c>
      <c r="I176">
        <v>2</v>
      </c>
      <c r="J176">
        <v>1.8</v>
      </c>
      <c r="K176">
        <v>448.59</v>
      </c>
      <c r="L176">
        <v>628.59</v>
      </c>
      <c r="M176" t="s">
        <v>115</v>
      </c>
      <c r="N176" t="s">
        <v>139</v>
      </c>
      <c r="O176">
        <f>90</f>
        <v>90</v>
      </c>
      <c r="P176">
        <f>tblROIssues[[#This Row],[LaborHours_Billed]]*tblROIssues[[#This Row],[LaborRate]]</f>
        <v>180</v>
      </c>
      <c r="Q176">
        <f>tblROIssues[[#This Row],[LaborHours_Correct]]*tblROIssues[[#This Row],[LaborRate]]</f>
        <v>162</v>
      </c>
      <c r="R176">
        <f>tblROIssues[[#This Row],[LaborCost_Billed]]-tblROIssues[[#This Row],[LaborCost_Correct]]</f>
        <v>18</v>
      </c>
      <c r="S176" t="str">
        <f>IF(tblROIssues[[#This Row],[CostOvercharge]] &gt; 120, "High",
   IF(tblROIssues[[#This Row],[CostOvercharge]] &gt; 75, "Medium",
   IF(tblROIssues[[#This Row],[CostOvercharge]] &gt; 0, "Low", "None")))</f>
        <v>Low</v>
      </c>
    </row>
    <row r="177" spans="1:19" x14ac:dyDescent="0.25">
      <c r="A177">
        <v>6</v>
      </c>
      <c r="B177">
        <v>2343358</v>
      </c>
      <c r="C177" t="s">
        <v>27</v>
      </c>
      <c r="D177" t="s">
        <v>37</v>
      </c>
      <c r="E177" t="s">
        <v>41</v>
      </c>
      <c r="F177" t="s">
        <v>51</v>
      </c>
      <c r="G177" t="s">
        <v>59</v>
      </c>
      <c r="H177" t="s">
        <v>98</v>
      </c>
      <c r="I177">
        <v>4.2</v>
      </c>
      <c r="J177">
        <v>4.0999999999999996</v>
      </c>
      <c r="K177">
        <v>124.59</v>
      </c>
      <c r="L177">
        <v>502.59</v>
      </c>
      <c r="M177" t="s">
        <v>115</v>
      </c>
      <c r="N177" t="s">
        <v>136</v>
      </c>
      <c r="O177">
        <f>90</f>
        <v>90</v>
      </c>
      <c r="P177">
        <f>tblROIssues[[#This Row],[LaborHours_Billed]]*tblROIssues[[#This Row],[LaborRate]]</f>
        <v>378</v>
      </c>
      <c r="Q177">
        <f>tblROIssues[[#This Row],[LaborHours_Correct]]*tblROIssues[[#This Row],[LaborRate]]</f>
        <v>368.99999999999994</v>
      </c>
      <c r="R177">
        <f>tblROIssues[[#This Row],[LaborCost_Billed]]-tblROIssues[[#This Row],[LaborCost_Correct]]</f>
        <v>9.0000000000000568</v>
      </c>
      <c r="S177" t="str">
        <f>IF(tblROIssues[[#This Row],[CostOvercharge]] &gt; 120, "High",
   IF(tblROIssues[[#This Row],[CostOvercharge]] &gt; 75, "Medium",
   IF(tblROIssues[[#This Row],[CostOvercharge]] &gt; 0, "Low", "None")))</f>
        <v>Low</v>
      </c>
    </row>
    <row r="178" spans="1:19" x14ac:dyDescent="0.25">
      <c r="A178">
        <v>7</v>
      </c>
      <c r="B178">
        <v>2343504</v>
      </c>
      <c r="C178" t="s">
        <v>36</v>
      </c>
      <c r="D178" t="s">
        <v>39</v>
      </c>
      <c r="E178" t="s">
        <v>45</v>
      </c>
      <c r="F178" t="s">
        <v>52</v>
      </c>
      <c r="G178" t="s">
        <v>58</v>
      </c>
      <c r="H178" t="s">
        <v>104</v>
      </c>
      <c r="I178">
        <v>1.1000000000000001</v>
      </c>
      <c r="J178">
        <v>1</v>
      </c>
      <c r="K178">
        <v>212.43</v>
      </c>
      <c r="L178">
        <v>311.43</v>
      </c>
      <c r="M178" t="s">
        <v>115</v>
      </c>
      <c r="N178" t="s">
        <v>124</v>
      </c>
      <c r="O178">
        <f>90</f>
        <v>90</v>
      </c>
      <c r="P178">
        <f>tblROIssues[[#This Row],[LaborHours_Billed]]*tblROIssues[[#This Row],[LaborRate]]</f>
        <v>99.000000000000014</v>
      </c>
      <c r="Q178">
        <f>tblROIssues[[#This Row],[LaborHours_Correct]]*tblROIssues[[#This Row],[LaborRate]]</f>
        <v>90</v>
      </c>
      <c r="R178">
        <f>tblROIssues[[#This Row],[LaborCost_Billed]]-tblROIssues[[#This Row],[LaborCost_Correct]]</f>
        <v>9.0000000000000142</v>
      </c>
      <c r="S178" t="str">
        <f>IF(tblROIssues[[#This Row],[CostOvercharge]] &gt; 120, "High",
   IF(tblROIssues[[#This Row],[CostOvercharge]] &gt; 75, "Medium",
   IF(tblROIssues[[#This Row],[CostOvercharge]] &gt; 0, "Low", "None")))</f>
        <v>Low</v>
      </c>
    </row>
    <row r="179" spans="1:19" x14ac:dyDescent="0.25">
      <c r="A179">
        <v>1</v>
      </c>
      <c r="B179">
        <v>2343007</v>
      </c>
      <c r="C179" t="s">
        <v>16</v>
      </c>
      <c r="D179" t="s">
        <v>39</v>
      </c>
      <c r="E179" t="s">
        <v>43</v>
      </c>
      <c r="F179" t="s">
        <v>48</v>
      </c>
      <c r="G179" t="s">
        <v>58</v>
      </c>
      <c r="H179" t="s">
        <v>61</v>
      </c>
      <c r="I179">
        <v>0.4</v>
      </c>
      <c r="J179">
        <v>0.3</v>
      </c>
      <c r="K179">
        <v>374.6</v>
      </c>
      <c r="L179">
        <v>410.6</v>
      </c>
      <c r="M179" t="s">
        <v>115</v>
      </c>
      <c r="N179" t="s">
        <v>119</v>
      </c>
      <c r="O179">
        <f>90</f>
        <v>90</v>
      </c>
      <c r="P179">
        <f>tblROIssues[[#This Row],[LaborHours_Billed]]*tblROIssues[[#This Row],[LaborRate]]</f>
        <v>36</v>
      </c>
      <c r="Q179">
        <f>tblROIssues[[#This Row],[LaborHours_Correct]]*tblROIssues[[#This Row],[LaborRate]]</f>
        <v>27</v>
      </c>
      <c r="R179">
        <f>tblROIssues[[#This Row],[LaborCost_Billed]]-tblROIssues[[#This Row],[LaborCost_Correct]]</f>
        <v>9</v>
      </c>
      <c r="S179" t="str">
        <f>IF(tblROIssues[[#This Row],[CostOvercharge]] &gt; 120, "High",
   IF(tblROIssues[[#This Row],[CostOvercharge]] &gt; 75, "Medium",
   IF(tblROIssues[[#This Row],[CostOvercharge]] &gt; 0, "Low", "None")))</f>
        <v>Low</v>
      </c>
    </row>
    <row r="180" spans="1:19" x14ac:dyDescent="0.25">
      <c r="A180">
        <v>1</v>
      </c>
      <c r="B180">
        <v>2343006</v>
      </c>
      <c r="C180" t="s">
        <v>15</v>
      </c>
      <c r="D180" t="s">
        <v>38</v>
      </c>
      <c r="E180" t="s">
        <v>41</v>
      </c>
      <c r="F180" t="s">
        <v>47</v>
      </c>
      <c r="G180" t="s">
        <v>58</v>
      </c>
      <c r="H180" t="s">
        <v>61</v>
      </c>
      <c r="I180">
        <v>1</v>
      </c>
      <c r="J180">
        <v>0.9</v>
      </c>
      <c r="K180">
        <v>389.78</v>
      </c>
      <c r="L180">
        <v>479.78</v>
      </c>
      <c r="M180" t="s">
        <v>115</v>
      </c>
      <c r="N180" t="s">
        <v>118</v>
      </c>
      <c r="O180">
        <f>90</f>
        <v>90</v>
      </c>
      <c r="P180">
        <f>tblROIssues[[#This Row],[LaborHours_Billed]]*tblROIssues[[#This Row],[LaborRate]]</f>
        <v>90</v>
      </c>
      <c r="Q180">
        <f>tblROIssues[[#This Row],[LaborHours_Correct]]*tblROIssues[[#This Row],[LaborRate]]</f>
        <v>81</v>
      </c>
      <c r="R180">
        <f>tblROIssues[[#This Row],[LaborCost_Billed]]-tblROIssues[[#This Row],[LaborCost_Correct]]</f>
        <v>9</v>
      </c>
      <c r="S180" t="str">
        <f>IF(tblROIssues[[#This Row],[CostOvercharge]] &gt; 120, "High",
   IF(tblROIssues[[#This Row],[CostOvercharge]] &gt; 75, "Medium",
   IF(tblROIssues[[#This Row],[CostOvercharge]] &gt; 0, "Low", "None")))</f>
        <v>Low</v>
      </c>
    </row>
    <row r="181" spans="1:19" x14ac:dyDescent="0.25">
      <c r="A181">
        <v>1</v>
      </c>
      <c r="B181">
        <v>2343055</v>
      </c>
      <c r="C181" t="s">
        <v>23</v>
      </c>
      <c r="D181" t="s">
        <v>38</v>
      </c>
      <c r="E181" t="s">
        <v>41</v>
      </c>
      <c r="F181" t="s">
        <v>52</v>
      </c>
      <c r="G181" t="s">
        <v>59</v>
      </c>
      <c r="H181" t="s">
        <v>65</v>
      </c>
      <c r="I181">
        <v>0.4</v>
      </c>
      <c r="J181">
        <v>0.3</v>
      </c>
      <c r="K181">
        <v>141.46</v>
      </c>
      <c r="L181">
        <v>177.46</v>
      </c>
      <c r="M181" t="s">
        <v>115</v>
      </c>
      <c r="N181" t="s">
        <v>126</v>
      </c>
      <c r="O181">
        <f>90</f>
        <v>90</v>
      </c>
      <c r="P181">
        <f>tblROIssues[[#This Row],[LaborHours_Billed]]*tblROIssues[[#This Row],[LaborRate]]</f>
        <v>36</v>
      </c>
      <c r="Q181">
        <f>tblROIssues[[#This Row],[LaborHours_Correct]]*tblROIssues[[#This Row],[LaborRate]]</f>
        <v>27</v>
      </c>
      <c r="R181">
        <f>tblROIssues[[#This Row],[LaborCost_Billed]]-tblROIssues[[#This Row],[LaborCost_Correct]]</f>
        <v>9</v>
      </c>
      <c r="S181" t="str">
        <f>IF(tblROIssues[[#This Row],[CostOvercharge]] &gt; 120, "High",
   IF(tblROIssues[[#This Row],[CostOvercharge]] &gt; 75, "Medium",
   IF(tblROIssues[[#This Row],[CostOvercharge]] &gt; 0, "Low", "None")))</f>
        <v>Low</v>
      </c>
    </row>
    <row r="182" spans="1:19" x14ac:dyDescent="0.25">
      <c r="A182">
        <v>3</v>
      </c>
      <c r="B182">
        <v>2343170</v>
      </c>
      <c r="C182" t="s">
        <v>28</v>
      </c>
      <c r="D182" t="s">
        <v>40</v>
      </c>
      <c r="E182" t="s">
        <v>41</v>
      </c>
      <c r="F182" t="s">
        <v>52</v>
      </c>
      <c r="G182" t="s">
        <v>58</v>
      </c>
      <c r="H182" t="s">
        <v>76</v>
      </c>
      <c r="I182">
        <v>0.4</v>
      </c>
      <c r="J182">
        <v>0.3</v>
      </c>
      <c r="K182">
        <v>370.17</v>
      </c>
      <c r="L182">
        <v>406.17</v>
      </c>
      <c r="M182" t="s">
        <v>116</v>
      </c>
      <c r="N182" t="s">
        <v>150</v>
      </c>
      <c r="O182">
        <f>90</f>
        <v>90</v>
      </c>
      <c r="P182">
        <f>tblROIssues[[#This Row],[LaborHours_Billed]]*tblROIssues[[#This Row],[LaborRate]]</f>
        <v>36</v>
      </c>
      <c r="Q182">
        <f>tblROIssues[[#This Row],[LaborHours_Correct]]*tblROIssues[[#This Row],[LaborRate]]</f>
        <v>27</v>
      </c>
      <c r="R182">
        <f>tblROIssues[[#This Row],[LaborCost_Billed]]-tblROIssues[[#This Row],[LaborCost_Correct]]</f>
        <v>9</v>
      </c>
      <c r="S182" t="str">
        <f>IF(tblROIssues[[#This Row],[CostOvercharge]] &gt; 120, "High",
   IF(tblROIssues[[#This Row],[CostOvercharge]] &gt; 75, "Medium",
   IF(tblROIssues[[#This Row],[CostOvercharge]] &gt; 0, "Low", "None")))</f>
        <v>Low</v>
      </c>
    </row>
    <row r="183" spans="1:19" x14ac:dyDescent="0.25">
      <c r="A183">
        <v>3</v>
      </c>
      <c r="B183">
        <v>2343180</v>
      </c>
      <c r="C183" t="s">
        <v>29</v>
      </c>
      <c r="D183" t="s">
        <v>38</v>
      </c>
      <c r="E183" t="s">
        <v>43</v>
      </c>
      <c r="F183" t="s">
        <v>57</v>
      </c>
      <c r="G183" t="s">
        <v>58</v>
      </c>
      <c r="H183" t="s">
        <v>76</v>
      </c>
      <c r="I183">
        <v>2.1</v>
      </c>
      <c r="J183">
        <v>2</v>
      </c>
      <c r="K183">
        <v>11.41</v>
      </c>
      <c r="L183">
        <v>200.41</v>
      </c>
      <c r="M183" t="s">
        <v>115</v>
      </c>
      <c r="N183" t="s">
        <v>138</v>
      </c>
      <c r="O183">
        <f>90</f>
        <v>90</v>
      </c>
      <c r="P183">
        <f>tblROIssues[[#This Row],[LaborHours_Billed]]*tblROIssues[[#This Row],[LaborRate]]</f>
        <v>189</v>
      </c>
      <c r="Q183">
        <f>tblROIssues[[#This Row],[LaborHours_Correct]]*tblROIssues[[#This Row],[LaborRate]]</f>
        <v>180</v>
      </c>
      <c r="R183">
        <f>tblROIssues[[#This Row],[LaborCost_Billed]]-tblROIssues[[#This Row],[LaborCost_Correct]]</f>
        <v>9</v>
      </c>
      <c r="S183" t="str">
        <f>IF(tblROIssues[[#This Row],[CostOvercharge]] &gt; 120, "High",
   IF(tblROIssues[[#This Row],[CostOvercharge]] &gt; 75, "Medium",
   IF(tblROIssues[[#This Row],[CostOvercharge]] &gt; 0, "Low", "None")))</f>
        <v>Low</v>
      </c>
    </row>
    <row r="184" spans="1:19" x14ac:dyDescent="0.25">
      <c r="A184">
        <v>4</v>
      </c>
      <c r="B184">
        <v>2343261</v>
      </c>
      <c r="C184" t="s">
        <v>30</v>
      </c>
      <c r="D184" t="s">
        <v>38</v>
      </c>
      <c r="E184" t="s">
        <v>41</v>
      </c>
      <c r="F184" t="s">
        <v>55</v>
      </c>
      <c r="G184" t="s">
        <v>59</v>
      </c>
      <c r="H184" t="s">
        <v>84</v>
      </c>
      <c r="I184">
        <v>3.2</v>
      </c>
      <c r="J184">
        <v>3.1</v>
      </c>
      <c r="K184">
        <v>369.84</v>
      </c>
      <c r="L184">
        <v>657.84</v>
      </c>
      <c r="M184" t="s">
        <v>116</v>
      </c>
      <c r="N184" t="s">
        <v>128</v>
      </c>
      <c r="O184">
        <f>90</f>
        <v>90</v>
      </c>
      <c r="P184">
        <f>tblROIssues[[#This Row],[LaborHours_Billed]]*tblROIssues[[#This Row],[LaborRate]]</f>
        <v>288</v>
      </c>
      <c r="Q184">
        <f>tblROIssues[[#This Row],[LaborHours_Correct]]*tblROIssues[[#This Row],[LaborRate]]</f>
        <v>279</v>
      </c>
      <c r="R184">
        <f>tblROIssues[[#This Row],[LaborCost_Billed]]-tblROIssues[[#This Row],[LaborCost_Correct]]</f>
        <v>9</v>
      </c>
      <c r="S184" t="str">
        <f>IF(tblROIssues[[#This Row],[CostOvercharge]] &gt; 120, "High",
   IF(tblROIssues[[#This Row],[CostOvercharge]] &gt; 75, "Medium",
   IF(tblROIssues[[#This Row],[CostOvercharge]] &gt; 0, "Low", "None")))</f>
        <v>Low</v>
      </c>
    </row>
    <row r="185" spans="1:19" x14ac:dyDescent="0.25">
      <c r="A185">
        <v>4</v>
      </c>
      <c r="B185">
        <v>2343278</v>
      </c>
      <c r="C185" t="s">
        <v>24</v>
      </c>
      <c r="D185" t="s">
        <v>38</v>
      </c>
      <c r="E185" t="s">
        <v>43</v>
      </c>
      <c r="F185" t="s">
        <v>46</v>
      </c>
      <c r="G185" t="s">
        <v>59</v>
      </c>
      <c r="H185" t="s">
        <v>83</v>
      </c>
      <c r="I185">
        <v>0.4</v>
      </c>
      <c r="J185">
        <v>0.3</v>
      </c>
      <c r="K185">
        <v>19.420000000000002</v>
      </c>
      <c r="L185">
        <v>55.42</v>
      </c>
      <c r="M185" t="s">
        <v>115</v>
      </c>
      <c r="N185" t="s">
        <v>161</v>
      </c>
      <c r="O185">
        <f>90</f>
        <v>90</v>
      </c>
      <c r="P185">
        <f>tblROIssues[[#This Row],[LaborHours_Billed]]*tblROIssues[[#This Row],[LaborRate]]</f>
        <v>36</v>
      </c>
      <c r="Q185">
        <f>tblROIssues[[#This Row],[LaborHours_Correct]]*tblROIssues[[#This Row],[LaborRate]]</f>
        <v>27</v>
      </c>
      <c r="R185">
        <f>tblROIssues[[#This Row],[LaborCost_Billed]]-tblROIssues[[#This Row],[LaborCost_Correct]]</f>
        <v>9</v>
      </c>
      <c r="S185" t="str">
        <f>IF(tblROIssues[[#This Row],[CostOvercharge]] &gt; 120, "High",
   IF(tblROIssues[[#This Row],[CostOvercharge]] &gt; 75, "Medium",
   IF(tblROIssues[[#This Row],[CostOvercharge]] &gt; 0, "Low", "None")))</f>
        <v>Low</v>
      </c>
    </row>
    <row r="186" spans="1:19" x14ac:dyDescent="0.25">
      <c r="A186">
        <v>5</v>
      </c>
      <c r="B186">
        <v>2343301</v>
      </c>
      <c r="C186" t="s">
        <v>18</v>
      </c>
      <c r="D186" t="s">
        <v>38</v>
      </c>
      <c r="E186" t="s">
        <v>43</v>
      </c>
      <c r="F186" t="s">
        <v>55</v>
      </c>
      <c r="G186" t="s">
        <v>59</v>
      </c>
      <c r="H186" t="s">
        <v>92</v>
      </c>
      <c r="I186">
        <v>0.4</v>
      </c>
      <c r="J186">
        <v>0.3</v>
      </c>
      <c r="K186">
        <v>364.75</v>
      </c>
      <c r="L186">
        <v>400.75</v>
      </c>
      <c r="M186" t="s">
        <v>115</v>
      </c>
      <c r="N186" t="s">
        <v>128</v>
      </c>
      <c r="O186">
        <f>90</f>
        <v>90</v>
      </c>
      <c r="P186">
        <f>tblROIssues[[#This Row],[LaborHours_Billed]]*tblROIssues[[#This Row],[LaborRate]]</f>
        <v>36</v>
      </c>
      <c r="Q186">
        <f>tblROIssues[[#This Row],[LaborHours_Correct]]*tblROIssues[[#This Row],[LaborRate]]</f>
        <v>27</v>
      </c>
      <c r="R186">
        <f>tblROIssues[[#This Row],[LaborCost_Billed]]-tblROIssues[[#This Row],[LaborCost_Correct]]</f>
        <v>9</v>
      </c>
      <c r="S186" t="str">
        <f>IF(tblROIssues[[#This Row],[CostOvercharge]] &gt; 120, "High",
   IF(tblROIssues[[#This Row],[CostOvercharge]] &gt; 75, "Medium",
   IF(tblROIssues[[#This Row],[CostOvercharge]] &gt; 0, "Low", "None")))</f>
        <v>Low</v>
      </c>
    </row>
    <row r="187" spans="1:19" x14ac:dyDescent="0.25">
      <c r="A187">
        <v>5</v>
      </c>
      <c r="B187">
        <v>2343339</v>
      </c>
      <c r="C187" t="s">
        <v>25</v>
      </c>
      <c r="D187" t="s">
        <v>38</v>
      </c>
      <c r="E187" t="s">
        <v>45</v>
      </c>
      <c r="F187" t="s">
        <v>51</v>
      </c>
      <c r="G187" t="s">
        <v>59</v>
      </c>
      <c r="H187" t="s">
        <v>93</v>
      </c>
      <c r="I187">
        <v>1.3</v>
      </c>
      <c r="J187">
        <v>1.2</v>
      </c>
      <c r="K187">
        <v>58</v>
      </c>
      <c r="L187">
        <v>175</v>
      </c>
      <c r="M187" t="s">
        <v>115</v>
      </c>
      <c r="N187" t="s">
        <v>171</v>
      </c>
      <c r="O187">
        <f>90</f>
        <v>90</v>
      </c>
      <c r="P187">
        <f>tblROIssues[[#This Row],[LaborHours_Billed]]*tblROIssues[[#This Row],[LaborRate]]</f>
        <v>117</v>
      </c>
      <c r="Q187">
        <f>tblROIssues[[#This Row],[LaborHours_Correct]]*tblROIssues[[#This Row],[LaborRate]]</f>
        <v>108</v>
      </c>
      <c r="R187">
        <f>tblROIssues[[#This Row],[LaborCost_Billed]]-tblROIssues[[#This Row],[LaborCost_Correct]]</f>
        <v>9</v>
      </c>
      <c r="S187" t="str">
        <f>IF(tblROIssues[[#This Row],[CostOvercharge]] &gt; 120, "High",
   IF(tblROIssues[[#This Row],[CostOvercharge]] &gt; 75, "Medium",
   IF(tblROIssues[[#This Row],[CostOvercharge]] &gt; 0, "Low", "None")))</f>
        <v>Low</v>
      </c>
    </row>
    <row r="188" spans="1:19" x14ac:dyDescent="0.25">
      <c r="A188">
        <v>6</v>
      </c>
      <c r="B188">
        <v>2343409</v>
      </c>
      <c r="C188" t="s">
        <v>33</v>
      </c>
      <c r="D188" t="s">
        <v>40</v>
      </c>
      <c r="E188" t="s">
        <v>43</v>
      </c>
      <c r="F188" t="s">
        <v>54</v>
      </c>
      <c r="G188" t="s">
        <v>58</v>
      </c>
      <c r="H188" t="s">
        <v>99</v>
      </c>
      <c r="I188">
        <v>2.5</v>
      </c>
      <c r="J188">
        <v>2.4</v>
      </c>
      <c r="K188">
        <v>151.47</v>
      </c>
      <c r="L188">
        <v>376.47</v>
      </c>
      <c r="M188" t="s">
        <v>116</v>
      </c>
      <c r="N188" t="s">
        <v>157</v>
      </c>
      <c r="O188">
        <f>90</f>
        <v>90</v>
      </c>
      <c r="P188">
        <f>tblROIssues[[#This Row],[LaborHours_Billed]]*tblROIssues[[#This Row],[LaborRate]]</f>
        <v>225</v>
      </c>
      <c r="Q188">
        <f>tblROIssues[[#This Row],[LaborHours_Correct]]*tblROIssues[[#This Row],[LaborRate]]</f>
        <v>216</v>
      </c>
      <c r="R188">
        <f>tblROIssues[[#This Row],[LaborCost_Billed]]-tblROIssues[[#This Row],[LaborCost_Correct]]</f>
        <v>9</v>
      </c>
      <c r="S188" t="str">
        <f>IF(tblROIssues[[#This Row],[CostOvercharge]] &gt; 120, "High",
   IF(tblROIssues[[#This Row],[CostOvercharge]] &gt; 75, "Medium",
   IF(tblROIssues[[#This Row],[CostOvercharge]] &gt; 0, "Low", "None")))</f>
        <v>Low</v>
      </c>
    </row>
    <row r="189" spans="1:19" x14ac:dyDescent="0.25">
      <c r="A189">
        <v>6</v>
      </c>
      <c r="B189">
        <v>2343374</v>
      </c>
      <c r="C189" t="s">
        <v>30</v>
      </c>
      <c r="D189" t="s">
        <v>38</v>
      </c>
      <c r="E189" t="s">
        <v>43</v>
      </c>
      <c r="F189" t="s">
        <v>52</v>
      </c>
      <c r="G189" t="s">
        <v>58</v>
      </c>
      <c r="H189" t="s">
        <v>100</v>
      </c>
      <c r="I189">
        <v>0.4</v>
      </c>
      <c r="J189">
        <v>0.3</v>
      </c>
      <c r="K189">
        <v>95.15</v>
      </c>
      <c r="L189">
        <v>131.15</v>
      </c>
      <c r="M189" t="s">
        <v>115</v>
      </c>
      <c r="N189" t="s">
        <v>126</v>
      </c>
      <c r="O189">
        <f>90</f>
        <v>90</v>
      </c>
      <c r="P189">
        <f>tblROIssues[[#This Row],[LaborHours_Billed]]*tblROIssues[[#This Row],[LaborRate]]</f>
        <v>36</v>
      </c>
      <c r="Q189">
        <f>tblROIssues[[#This Row],[LaborHours_Correct]]*tblROIssues[[#This Row],[LaborRate]]</f>
        <v>27</v>
      </c>
      <c r="R189">
        <f>tblROIssues[[#This Row],[LaborCost_Billed]]-tblROIssues[[#This Row],[LaborCost_Correct]]</f>
        <v>9</v>
      </c>
      <c r="S189" t="str">
        <f>IF(tblROIssues[[#This Row],[CostOvercharge]] &gt; 120, "High",
   IF(tblROIssues[[#This Row],[CostOvercharge]] &gt; 75, "Medium",
   IF(tblROIssues[[#This Row],[CostOvercharge]] &gt; 0, "Low", "None")))</f>
        <v>Low</v>
      </c>
    </row>
    <row r="190" spans="1:19" x14ac:dyDescent="0.25">
      <c r="A190">
        <v>7</v>
      </c>
      <c r="B190">
        <v>2343496</v>
      </c>
      <c r="C190" t="s">
        <v>23</v>
      </c>
      <c r="D190" t="s">
        <v>38</v>
      </c>
      <c r="E190" t="s">
        <v>43</v>
      </c>
      <c r="F190" t="s">
        <v>47</v>
      </c>
      <c r="G190" t="s">
        <v>59</v>
      </c>
      <c r="H190" t="s">
        <v>102</v>
      </c>
      <c r="I190">
        <v>0.4</v>
      </c>
      <c r="J190">
        <v>0.3</v>
      </c>
      <c r="K190">
        <v>80.12</v>
      </c>
      <c r="L190">
        <v>116.12</v>
      </c>
      <c r="M190" t="s">
        <v>115</v>
      </c>
      <c r="N190" t="s">
        <v>118</v>
      </c>
      <c r="O190">
        <f>90</f>
        <v>90</v>
      </c>
      <c r="P190">
        <f>tblROIssues[[#This Row],[LaborHours_Billed]]*tblROIssues[[#This Row],[LaborRate]]</f>
        <v>36</v>
      </c>
      <c r="Q190">
        <f>tblROIssues[[#This Row],[LaborHours_Correct]]*tblROIssues[[#This Row],[LaborRate]]</f>
        <v>27</v>
      </c>
      <c r="R190">
        <f>tblROIssues[[#This Row],[LaborCost_Billed]]-tblROIssues[[#This Row],[LaborCost_Correct]]</f>
        <v>9</v>
      </c>
      <c r="S190" t="str">
        <f>IF(tblROIssues[[#This Row],[CostOvercharge]] &gt; 120, "High",
   IF(tblROIssues[[#This Row],[CostOvercharge]] &gt; 75, "Medium",
   IF(tblROIssues[[#This Row],[CostOvercharge]] &gt; 0, "Low", "None")))</f>
        <v>Low</v>
      </c>
    </row>
    <row r="191" spans="1:19" x14ac:dyDescent="0.25">
      <c r="A191">
        <v>8</v>
      </c>
      <c r="B191">
        <v>2343549</v>
      </c>
      <c r="C191" t="s">
        <v>14</v>
      </c>
      <c r="D191" t="s">
        <v>39</v>
      </c>
      <c r="E191" t="s">
        <v>43</v>
      </c>
      <c r="F191" t="s">
        <v>56</v>
      </c>
      <c r="G191" t="s">
        <v>58</v>
      </c>
      <c r="H191" t="s">
        <v>109</v>
      </c>
      <c r="I191">
        <v>0.4</v>
      </c>
      <c r="J191">
        <v>0.3</v>
      </c>
      <c r="K191">
        <v>243.74</v>
      </c>
      <c r="L191">
        <v>279.74</v>
      </c>
      <c r="M191" t="s">
        <v>115</v>
      </c>
      <c r="N191" t="s">
        <v>169</v>
      </c>
      <c r="O191">
        <f>90</f>
        <v>90</v>
      </c>
      <c r="P191">
        <f>tblROIssues[[#This Row],[LaborHours_Billed]]*tblROIssues[[#This Row],[LaborRate]]</f>
        <v>36</v>
      </c>
      <c r="Q191">
        <f>tblROIssues[[#This Row],[LaborHours_Correct]]*tblROIssues[[#This Row],[LaborRate]]</f>
        <v>27</v>
      </c>
      <c r="R191">
        <f>tblROIssues[[#This Row],[LaborCost_Billed]]-tblROIssues[[#This Row],[LaborCost_Correct]]</f>
        <v>9</v>
      </c>
      <c r="S191" t="str">
        <f>IF(tblROIssues[[#This Row],[CostOvercharge]] &gt; 120, "High",
   IF(tblROIssues[[#This Row],[CostOvercharge]] &gt; 75, "Medium",
   IF(tblROIssues[[#This Row],[CostOvercharge]] &gt; 0, "Low", "None")))</f>
        <v>Low</v>
      </c>
    </row>
    <row r="192" spans="1:19" x14ac:dyDescent="0.25">
      <c r="A192">
        <v>4</v>
      </c>
      <c r="B192">
        <v>2343279</v>
      </c>
      <c r="C192" t="s">
        <v>31</v>
      </c>
      <c r="D192" t="s">
        <v>40</v>
      </c>
      <c r="E192" t="s">
        <v>41</v>
      </c>
      <c r="F192" t="s">
        <v>49</v>
      </c>
      <c r="G192" t="s">
        <v>59</v>
      </c>
      <c r="H192" t="s">
        <v>87</v>
      </c>
      <c r="I192">
        <v>4.5</v>
      </c>
      <c r="J192">
        <v>4.4000000000000004</v>
      </c>
      <c r="K192">
        <v>249.23</v>
      </c>
      <c r="L192">
        <v>654.23</v>
      </c>
      <c r="M192" t="s">
        <v>116</v>
      </c>
      <c r="N192" t="s">
        <v>123</v>
      </c>
      <c r="O192">
        <f>90</f>
        <v>90</v>
      </c>
      <c r="P192">
        <f>tblROIssues[[#This Row],[LaborHours_Billed]]*tblROIssues[[#This Row],[LaborRate]]</f>
        <v>405</v>
      </c>
      <c r="Q192">
        <f>tblROIssues[[#This Row],[LaborHours_Correct]]*tblROIssues[[#This Row],[LaborRate]]</f>
        <v>396.00000000000006</v>
      </c>
      <c r="R192">
        <f>tblROIssues[[#This Row],[LaborCost_Billed]]-tblROIssues[[#This Row],[LaborCost_Correct]]</f>
        <v>8.9999999999999432</v>
      </c>
      <c r="S192" t="str">
        <f>IF(tblROIssues[[#This Row],[CostOvercharge]] &gt; 120, "High",
   IF(tblROIssues[[#This Row],[CostOvercharge]] &gt; 75, "Medium",
   IF(tblROIssues[[#This Row],[CostOvercharge]] &gt; 0, "Low", "None")))</f>
        <v>Low</v>
      </c>
    </row>
    <row r="193" spans="1:19" x14ac:dyDescent="0.25">
      <c r="A193">
        <v>5</v>
      </c>
      <c r="B193">
        <v>2343283</v>
      </c>
      <c r="C193" t="s">
        <v>29</v>
      </c>
      <c r="D193" t="s">
        <v>37</v>
      </c>
      <c r="E193" t="s">
        <v>41</v>
      </c>
      <c r="F193" t="s">
        <v>47</v>
      </c>
      <c r="G193" t="s">
        <v>59</v>
      </c>
      <c r="H193" t="s">
        <v>89</v>
      </c>
      <c r="I193">
        <v>4.0999999999999996</v>
      </c>
      <c r="J193">
        <v>4</v>
      </c>
      <c r="K193">
        <v>126.43</v>
      </c>
      <c r="L193">
        <v>495.43</v>
      </c>
      <c r="M193" t="s">
        <v>115</v>
      </c>
      <c r="N193" t="s">
        <v>146</v>
      </c>
      <c r="O193">
        <f>90</f>
        <v>90</v>
      </c>
      <c r="P193">
        <f>tblROIssues[[#This Row],[LaborHours_Billed]]*tblROIssues[[#This Row],[LaborRate]]</f>
        <v>368.99999999999994</v>
      </c>
      <c r="Q193">
        <f>tblROIssues[[#This Row],[LaborHours_Correct]]*tblROIssues[[#This Row],[LaborRate]]</f>
        <v>360</v>
      </c>
      <c r="R193">
        <f>tblROIssues[[#This Row],[LaborCost_Billed]]-tblROIssues[[#This Row],[LaborCost_Correct]]</f>
        <v>8.9999999999999432</v>
      </c>
      <c r="S193" t="str">
        <f>IF(tblROIssues[[#This Row],[CostOvercharge]] &gt; 120, "High",
   IF(tblROIssues[[#This Row],[CostOvercharge]] &gt; 75, "Medium",
   IF(tblROIssues[[#This Row],[CostOvercharge]] &gt; 0, "Low", "None")))</f>
        <v>Low</v>
      </c>
    </row>
    <row r="194" spans="1:19" x14ac:dyDescent="0.25">
      <c r="A194">
        <v>2</v>
      </c>
      <c r="B194">
        <v>2343098</v>
      </c>
      <c r="C194" t="s">
        <v>26</v>
      </c>
      <c r="D194" t="s">
        <v>38</v>
      </c>
      <c r="E194" t="s">
        <v>45</v>
      </c>
      <c r="F194" t="s">
        <v>50</v>
      </c>
      <c r="G194" t="s">
        <v>59</v>
      </c>
      <c r="H194" t="s">
        <v>69</v>
      </c>
      <c r="I194">
        <v>3.1</v>
      </c>
      <c r="J194">
        <v>3.1</v>
      </c>
      <c r="K194">
        <v>230.44</v>
      </c>
      <c r="L194">
        <v>509.44</v>
      </c>
      <c r="M194" t="s">
        <v>115</v>
      </c>
      <c r="N194" t="s">
        <v>130</v>
      </c>
      <c r="O194">
        <f>90</f>
        <v>90</v>
      </c>
      <c r="P194">
        <f>tblROIssues[[#This Row],[LaborHours_Billed]]*tblROIssues[[#This Row],[LaborRate]]</f>
        <v>279</v>
      </c>
      <c r="Q194">
        <f>tblROIssues[[#This Row],[LaborHours_Correct]]*tblROIssues[[#This Row],[LaborRate]]</f>
        <v>279</v>
      </c>
      <c r="R194">
        <f>tblROIssues[[#This Row],[LaborCost_Billed]]-tblROIssues[[#This Row],[LaborCost_Correct]]</f>
        <v>0</v>
      </c>
      <c r="S194" t="str">
        <f>IF(tblROIssues[[#This Row],[CostOvercharge]] &gt; 120, "High",
   IF(tblROIssues[[#This Row],[CostOvercharge]] &gt; 75, "Medium",
   IF(tblROIssues[[#This Row],[CostOvercharge]] &gt; 0, "Low", "None")))</f>
        <v>None</v>
      </c>
    </row>
    <row r="195" spans="1:19" x14ac:dyDescent="0.25">
      <c r="A195">
        <v>2</v>
      </c>
      <c r="B195">
        <v>2343123</v>
      </c>
      <c r="C195" t="s">
        <v>20</v>
      </c>
      <c r="D195" t="s">
        <v>38</v>
      </c>
      <c r="E195" t="s">
        <v>41</v>
      </c>
      <c r="F195" t="s">
        <v>54</v>
      </c>
      <c r="G195" t="s">
        <v>59</v>
      </c>
      <c r="H195" t="s">
        <v>72</v>
      </c>
      <c r="I195">
        <v>0.3</v>
      </c>
      <c r="J195">
        <v>0.3</v>
      </c>
      <c r="K195">
        <v>298.58</v>
      </c>
      <c r="L195">
        <v>325.58</v>
      </c>
      <c r="M195" t="s">
        <v>115</v>
      </c>
      <c r="N195" t="s">
        <v>127</v>
      </c>
      <c r="O195">
        <f>90</f>
        <v>90</v>
      </c>
      <c r="P195">
        <f>tblROIssues[[#This Row],[LaborHours_Billed]]*tblROIssues[[#This Row],[LaborRate]]</f>
        <v>27</v>
      </c>
      <c r="Q195">
        <f>tblROIssues[[#This Row],[LaborHours_Correct]]*tblROIssues[[#This Row],[LaborRate]]</f>
        <v>27</v>
      </c>
      <c r="R195">
        <f>tblROIssues[[#This Row],[LaborCost_Billed]]-tblROIssues[[#This Row],[LaborCost_Correct]]</f>
        <v>0</v>
      </c>
      <c r="S195" t="str">
        <f>IF(tblROIssues[[#This Row],[CostOvercharge]] &gt; 120, "High",
   IF(tblROIssues[[#This Row],[CostOvercharge]] &gt; 75, "Medium",
   IF(tblROIssues[[#This Row],[CostOvercharge]] &gt; 0, "Low", "None")))</f>
        <v>None</v>
      </c>
    </row>
    <row r="196" spans="1:19" x14ac:dyDescent="0.25">
      <c r="A196">
        <v>3</v>
      </c>
      <c r="B196">
        <v>2343206</v>
      </c>
      <c r="C196" t="s">
        <v>17</v>
      </c>
      <c r="D196" t="s">
        <v>38</v>
      </c>
      <c r="E196" t="s">
        <v>43</v>
      </c>
      <c r="F196" t="s">
        <v>54</v>
      </c>
      <c r="G196" t="s">
        <v>59</v>
      </c>
      <c r="H196" t="s">
        <v>77</v>
      </c>
      <c r="I196">
        <v>3</v>
      </c>
      <c r="J196">
        <v>3</v>
      </c>
      <c r="K196">
        <v>263.60000000000002</v>
      </c>
      <c r="L196">
        <v>533.6</v>
      </c>
      <c r="M196" t="s">
        <v>115</v>
      </c>
      <c r="N196" t="s">
        <v>127</v>
      </c>
      <c r="O196">
        <f>90</f>
        <v>90</v>
      </c>
      <c r="P196">
        <f>tblROIssues[[#This Row],[LaborHours_Billed]]*tblROIssues[[#This Row],[LaborRate]]</f>
        <v>270</v>
      </c>
      <c r="Q196">
        <f>tblROIssues[[#This Row],[LaborHours_Correct]]*tblROIssues[[#This Row],[LaborRate]]</f>
        <v>270</v>
      </c>
      <c r="R196">
        <f>tblROIssues[[#This Row],[LaborCost_Billed]]-tblROIssues[[#This Row],[LaborCost_Correct]]</f>
        <v>0</v>
      </c>
      <c r="S196" t="str">
        <f>IF(tblROIssues[[#This Row],[CostOvercharge]] &gt; 120, "High",
   IF(tblROIssues[[#This Row],[CostOvercharge]] &gt; 75, "Medium",
   IF(tblROIssues[[#This Row],[CostOvercharge]] &gt; 0, "Low", "None")))</f>
        <v>None</v>
      </c>
    </row>
    <row r="197" spans="1:19" x14ac:dyDescent="0.25">
      <c r="A197">
        <v>4</v>
      </c>
      <c r="B197">
        <v>2343218</v>
      </c>
      <c r="C197" t="s">
        <v>25</v>
      </c>
      <c r="D197" t="s">
        <v>37</v>
      </c>
      <c r="E197" t="s">
        <v>41</v>
      </c>
      <c r="F197" t="s">
        <v>47</v>
      </c>
      <c r="G197" t="s">
        <v>58</v>
      </c>
      <c r="H197" t="s">
        <v>81</v>
      </c>
      <c r="I197">
        <v>0.7</v>
      </c>
      <c r="J197">
        <v>0.7</v>
      </c>
      <c r="K197">
        <v>42.5</v>
      </c>
      <c r="L197">
        <v>105.5</v>
      </c>
      <c r="M197" t="s">
        <v>115</v>
      </c>
      <c r="N197" t="s">
        <v>146</v>
      </c>
      <c r="O197">
        <f>90</f>
        <v>90</v>
      </c>
      <c r="P197">
        <f>tblROIssues[[#This Row],[LaborHours_Billed]]*tblROIssues[[#This Row],[LaborRate]]</f>
        <v>62.999999999999993</v>
      </c>
      <c r="Q197">
        <f>tblROIssues[[#This Row],[LaborHours_Correct]]*tblROIssues[[#This Row],[LaborRate]]</f>
        <v>62.999999999999993</v>
      </c>
      <c r="R197">
        <f>tblROIssues[[#This Row],[LaborCost_Billed]]-tblROIssues[[#This Row],[LaborCost_Correct]]</f>
        <v>0</v>
      </c>
      <c r="S197" t="str">
        <f>IF(tblROIssues[[#This Row],[CostOvercharge]] &gt; 120, "High",
   IF(tblROIssues[[#This Row],[CostOvercharge]] &gt; 75, "Medium",
   IF(tblROIssues[[#This Row],[CostOvercharge]] &gt; 0, "Low", "None")))</f>
        <v>None</v>
      </c>
    </row>
    <row r="198" spans="1:19" x14ac:dyDescent="0.25">
      <c r="A198">
        <v>4</v>
      </c>
      <c r="B198">
        <v>2343268</v>
      </c>
      <c r="C198" t="s">
        <v>19</v>
      </c>
      <c r="D198" t="s">
        <v>38</v>
      </c>
      <c r="E198" t="s">
        <v>43</v>
      </c>
      <c r="F198" t="s">
        <v>47</v>
      </c>
      <c r="G198" t="s">
        <v>59</v>
      </c>
      <c r="H198" t="s">
        <v>86</v>
      </c>
      <c r="I198">
        <v>2.4</v>
      </c>
      <c r="J198">
        <v>2.4</v>
      </c>
      <c r="K198">
        <v>210.9</v>
      </c>
      <c r="L198">
        <v>426.9</v>
      </c>
      <c r="M198" t="s">
        <v>115</v>
      </c>
      <c r="N198" t="s">
        <v>118</v>
      </c>
      <c r="O198">
        <f>90</f>
        <v>90</v>
      </c>
      <c r="P198">
        <f>tblROIssues[[#This Row],[LaborHours_Billed]]*tblROIssues[[#This Row],[LaborRate]]</f>
        <v>216</v>
      </c>
      <c r="Q198">
        <f>tblROIssues[[#This Row],[LaborHours_Correct]]*tblROIssues[[#This Row],[LaborRate]]</f>
        <v>216</v>
      </c>
      <c r="R198">
        <f>tblROIssues[[#This Row],[LaborCost_Billed]]-tblROIssues[[#This Row],[LaborCost_Correct]]</f>
        <v>0</v>
      </c>
      <c r="S198" t="str">
        <f>IF(tblROIssues[[#This Row],[CostOvercharge]] &gt; 120, "High",
   IF(tblROIssues[[#This Row],[CostOvercharge]] &gt; 75, "Medium",
   IF(tblROIssues[[#This Row],[CostOvercharge]] &gt; 0, "Low", "None")))</f>
        <v>None</v>
      </c>
    </row>
    <row r="199" spans="1:19" x14ac:dyDescent="0.25">
      <c r="A199">
        <v>7</v>
      </c>
      <c r="B199">
        <v>2343489</v>
      </c>
      <c r="C199" t="s">
        <v>32</v>
      </c>
      <c r="D199" t="s">
        <v>38</v>
      </c>
      <c r="E199" t="s">
        <v>41</v>
      </c>
      <c r="F199" t="s">
        <v>46</v>
      </c>
      <c r="G199" t="s">
        <v>59</v>
      </c>
      <c r="H199" t="s">
        <v>106</v>
      </c>
      <c r="I199">
        <v>3.7</v>
      </c>
      <c r="J199">
        <v>3.7</v>
      </c>
      <c r="K199">
        <v>150.07</v>
      </c>
      <c r="L199">
        <v>483.07</v>
      </c>
      <c r="M199" t="s">
        <v>115</v>
      </c>
      <c r="N199" t="s">
        <v>182</v>
      </c>
      <c r="O199">
        <f>90</f>
        <v>90</v>
      </c>
      <c r="P199">
        <f>tblROIssues[[#This Row],[LaborHours_Billed]]*tblROIssues[[#This Row],[LaborRate]]</f>
        <v>333</v>
      </c>
      <c r="Q199">
        <f>tblROIssues[[#This Row],[LaborHours_Correct]]*tblROIssues[[#This Row],[LaborRate]]</f>
        <v>333</v>
      </c>
      <c r="R199">
        <f>tblROIssues[[#This Row],[LaborCost_Billed]]-tblROIssues[[#This Row],[LaborCost_Correct]]</f>
        <v>0</v>
      </c>
      <c r="S199" t="str">
        <f>IF(tblROIssues[[#This Row],[CostOvercharge]] &gt; 120, "High",
   IF(tblROIssues[[#This Row],[CostOvercharge]] &gt; 75, "Medium",
   IF(tblROIssues[[#This Row],[CostOvercharge]] &gt; 0, "Low", "None")))</f>
        <v>None</v>
      </c>
    </row>
    <row r="200" spans="1:19" x14ac:dyDescent="0.25">
      <c r="A200">
        <v>8</v>
      </c>
      <c r="B200">
        <v>2343534</v>
      </c>
      <c r="C200" t="s">
        <v>16</v>
      </c>
      <c r="D200" t="s">
        <v>38</v>
      </c>
      <c r="E200" t="s">
        <v>41</v>
      </c>
      <c r="F200" t="s">
        <v>56</v>
      </c>
      <c r="G200" t="s">
        <v>59</v>
      </c>
      <c r="H200" t="s">
        <v>111</v>
      </c>
      <c r="I200">
        <v>1.2</v>
      </c>
      <c r="J200">
        <v>1.2</v>
      </c>
      <c r="K200">
        <v>81.650000000000006</v>
      </c>
      <c r="L200">
        <v>189.65</v>
      </c>
      <c r="M200" t="s">
        <v>115</v>
      </c>
      <c r="N200" t="s">
        <v>134</v>
      </c>
      <c r="O200">
        <f>90</f>
        <v>90</v>
      </c>
      <c r="P200">
        <f>tblROIssues[[#This Row],[LaborHours_Billed]]*tblROIssues[[#This Row],[LaborRate]]</f>
        <v>108</v>
      </c>
      <c r="Q200">
        <f>tblROIssues[[#This Row],[LaborHours_Correct]]*tblROIssues[[#This Row],[LaborRate]]</f>
        <v>108</v>
      </c>
      <c r="R200">
        <f>tblROIssues[[#This Row],[LaborCost_Billed]]-tblROIssues[[#This Row],[LaborCost_Correct]]</f>
        <v>0</v>
      </c>
      <c r="S200" t="str">
        <f>IF(tblROIssues[[#This Row],[CostOvercharge]] &gt; 120, "High",
   IF(tblROIssues[[#This Row],[CostOvercharge]] &gt; 75, "Medium",
   IF(tblROIssues[[#This Row],[CostOvercharge]] &gt; 0, "Low", "None")))</f>
        <v>None</v>
      </c>
    </row>
    <row r="201" spans="1:19" x14ac:dyDescent="0.25">
      <c r="A201">
        <v>8</v>
      </c>
      <c r="B201">
        <v>2343552</v>
      </c>
      <c r="C201" t="s">
        <v>18</v>
      </c>
      <c r="D201" t="s">
        <v>38</v>
      </c>
      <c r="E201" t="s">
        <v>41</v>
      </c>
      <c r="F201" t="s">
        <v>49</v>
      </c>
      <c r="G201" t="s">
        <v>58</v>
      </c>
      <c r="H201" t="s">
        <v>112</v>
      </c>
      <c r="I201">
        <v>1.4</v>
      </c>
      <c r="J201">
        <v>1.4</v>
      </c>
      <c r="K201">
        <v>411.43</v>
      </c>
      <c r="L201">
        <v>537.42999999999995</v>
      </c>
      <c r="M201" t="s">
        <v>115</v>
      </c>
      <c r="N201" t="s">
        <v>186</v>
      </c>
      <c r="O201">
        <f>90</f>
        <v>90</v>
      </c>
      <c r="P201">
        <f>tblROIssues[[#This Row],[LaborHours_Billed]]*tblROIssues[[#This Row],[LaborRate]]</f>
        <v>125.99999999999999</v>
      </c>
      <c r="Q201">
        <f>tblROIssues[[#This Row],[LaborHours_Correct]]*tblROIssues[[#This Row],[LaborRate]]</f>
        <v>125.99999999999999</v>
      </c>
      <c r="R201">
        <f>tblROIssues[[#This Row],[LaborCost_Billed]]-tblROIssues[[#This Row],[LaborCost_Correct]]</f>
        <v>0</v>
      </c>
      <c r="S201" t="str">
        <f>IF(tblROIssues[[#This Row],[CostOvercharge]] &gt; 120, "High",
   IF(tblROIssues[[#This Row],[CostOvercharge]] &gt; 75, "Medium",
   IF(tblROIssues[[#This Row],[CostOvercharge]] &gt; 0, "Low", "None")))</f>
        <v>None</v>
      </c>
    </row>
    <row r="202" spans="1:19" x14ac:dyDescent="0.25">
      <c r="A202">
        <v>8</v>
      </c>
      <c r="B202">
        <v>2343556</v>
      </c>
      <c r="C202" t="s">
        <v>31</v>
      </c>
      <c r="D202" t="s">
        <v>38</v>
      </c>
      <c r="E202" t="s">
        <v>41</v>
      </c>
      <c r="F202" t="s">
        <v>55</v>
      </c>
      <c r="G202" t="s">
        <v>59</v>
      </c>
      <c r="H202" t="s">
        <v>114</v>
      </c>
      <c r="I202">
        <v>0.3</v>
      </c>
      <c r="J202">
        <v>0.3</v>
      </c>
      <c r="K202">
        <v>405.01</v>
      </c>
      <c r="L202">
        <v>432.01</v>
      </c>
      <c r="M202" t="s">
        <v>115</v>
      </c>
      <c r="N202" t="s">
        <v>128</v>
      </c>
      <c r="O202">
        <f>90</f>
        <v>90</v>
      </c>
      <c r="P202">
        <f>tblROIssues[[#This Row],[LaborHours_Billed]]*tblROIssues[[#This Row],[LaborRate]]</f>
        <v>27</v>
      </c>
      <c r="Q202">
        <f>tblROIssues[[#This Row],[LaborHours_Correct]]*tblROIssues[[#This Row],[LaborRate]]</f>
        <v>27</v>
      </c>
      <c r="R202">
        <f>tblROIssues[[#This Row],[LaborCost_Billed]]-tblROIssues[[#This Row],[LaborCost_Correct]]</f>
        <v>0</v>
      </c>
      <c r="S202" t="str">
        <f>IF(tblROIssues[[#This Row],[CostOvercharge]] &gt; 120, "High",
   IF(tblROIssues[[#This Row],[CostOvercharge]] &gt; 75, "Medium",
   IF(tblROIssues[[#This Row],[CostOvercharge]] &gt; 0, "Low", "None")))</f>
        <v>None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PT1</vt:lpstr>
      <vt:lpstr>Ops Dashboard</vt:lpstr>
      <vt:lpstr>PT2</vt:lpstr>
      <vt:lpstr>PT3</vt:lpstr>
      <vt:lpstr>PT4</vt:lpstr>
      <vt:lpstr>Operations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Summers</dc:creator>
  <cp:lastModifiedBy>Jason Summers</cp:lastModifiedBy>
  <dcterms:created xsi:type="dcterms:W3CDTF">2025-11-21T17:24:03Z</dcterms:created>
  <dcterms:modified xsi:type="dcterms:W3CDTF">2025-11-22T18:09:47Z</dcterms:modified>
</cp:coreProperties>
</file>